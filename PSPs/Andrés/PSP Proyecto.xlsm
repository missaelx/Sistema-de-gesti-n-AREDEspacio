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880" yWindow="460" windowWidth="19420" windowHeight="11020" tabRatio="792" activeTab="2"/>
  </bookViews>
  <sheets>
    <sheet name="Instrucciones" sheetId="2" r:id="rId1"/>
    <sheet name="Summary" sheetId="16377" r:id="rId2"/>
    <sheet name="TimeLog" sheetId="17" r:id="rId3"/>
    <sheet name="SCMENUS" sheetId="501" state="hidden" r:id="rId4"/>
    <sheet name="Charts" sheetId="16375" r:id="rId5"/>
  </sheets>
  <functionGroups builtInGroupCount="17"/>
  <externalReferences>
    <externalReference r:id="rId6"/>
  </externalReferences>
  <definedNames>
    <definedName name="_xlnm.Print_Area" localSheetId="1">Summary!$B$1:$N$82</definedName>
    <definedName name="DefectTypesDatabaseRange" localSheetId="1">[1]DefectTypes!$A$1:$B$12</definedName>
    <definedName name="DefectTypesDatabaseRange">[1]DefectTypes!$A$1:$B$12</definedName>
    <definedName name="EstResults" localSheetId="1">#REF!</definedName>
    <definedName name="EstResults">#REF!</definedName>
    <definedName name="GoalsDatabaseRange" localSheetId="1">[1]Goals!$A$2:$F$2</definedName>
    <definedName name="GoalsDatabaseRange">[1]Goals!$A$2:$F$2</definedName>
    <definedName name="HistoricalData" localSheetId="1">#REF!</definedName>
    <definedName name="HistoricalData">#REF!</definedName>
    <definedName name="IRTLDatabaseRange" localSheetId="1">[1]IRTL!$A$6:$K$6</definedName>
    <definedName name="IRTLDatabaseRange">[1]IRTL!$A$6:$K$6</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44525" concurrentCalc="0"/>
  <extLst>
    <ext xmlns:mx="http://schemas.microsoft.com/office/mac/excel/2008/main" uri="{7523E5D3-25F3-A5E0-1632-64F254C22452}">
      <mx:ArchID Flags="2"/>
    </ext>
  </extLst>
</workbook>
</file>

<file path=xl/calcChain.xml><?xml version="1.0" encoding="utf-8"?>
<calcChain xmlns="http://schemas.openxmlformats.org/spreadsheetml/2006/main">
  <c r="O18" i="16377" l="1"/>
  <c r="O17" i="16377"/>
  <c r="O16" i="16377"/>
  <c r="O15" i="16377"/>
  <c r="O14" i="16377"/>
  <c r="O13" i="16377"/>
  <c r="O12" i="16377"/>
  <c r="O11" i="16377"/>
  <c r="O10" i="16377"/>
  <c r="M19" i="16377"/>
  <c r="G19" i="16377"/>
  <c r="K19" i="16377"/>
  <c r="I19" i="16377"/>
  <c r="O19" i="16377"/>
</calcChain>
</file>

<file path=xl/sharedStrings.xml><?xml version="1.0" encoding="utf-8"?>
<sst xmlns="http://schemas.openxmlformats.org/spreadsheetml/2006/main" count="203" uniqueCount="126">
  <si>
    <t>Project</t>
  </si>
  <si>
    <t>Delta</t>
  </si>
  <si>
    <t>Description</t>
  </si>
  <si>
    <t>Type</t>
  </si>
  <si>
    <t>Documentation</t>
  </si>
  <si>
    <t>Syntax</t>
  </si>
  <si>
    <t>Build, Package</t>
  </si>
  <si>
    <t>Assignment</t>
  </si>
  <si>
    <t>Interface</t>
  </si>
  <si>
    <t>Checking</t>
  </si>
  <si>
    <t>Data</t>
  </si>
  <si>
    <t>Function</t>
  </si>
  <si>
    <t>System</t>
  </si>
  <si>
    <t>Environment</t>
  </si>
  <si>
    <t>DLD</t>
  </si>
  <si>
    <t>DLDR</t>
  </si>
  <si>
    <t>CR</t>
  </si>
  <si>
    <t>CODE</t>
  </si>
  <si>
    <t>COMPILE</t>
  </si>
  <si>
    <t>Phases</t>
  </si>
  <si>
    <t>1A</t>
  </si>
  <si>
    <t>2A</t>
  </si>
  <si>
    <t>3A</t>
  </si>
  <si>
    <t>4A</t>
  </si>
  <si>
    <t>5A</t>
  </si>
  <si>
    <t>6A</t>
  </si>
  <si>
    <t>7A</t>
  </si>
  <si>
    <t>8A</t>
  </si>
  <si>
    <t>Process</t>
  </si>
  <si>
    <t>PSP0</t>
  </si>
  <si>
    <t>PLAN</t>
  </si>
  <si>
    <t>TEST</t>
  </si>
  <si>
    <t>PM</t>
  </si>
  <si>
    <t>PSP0.1</t>
  </si>
  <si>
    <t>PSP1</t>
  </si>
  <si>
    <t>PSP1.1</t>
  </si>
  <si>
    <t>PSP2</t>
  </si>
  <si>
    <t>PSP2.1</t>
  </si>
  <si>
    <t>Processes</t>
  </si>
  <si>
    <t>C</t>
  </si>
  <si>
    <t>Object Type</t>
  </si>
  <si>
    <t>Relative Size</t>
  </si>
  <si>
    <t>VS</t>
  </si>
  <si>
    <t>S</t>
  </si>
  <si>
    <t>M</t>
  </si>
  <si>
    <t>L</t>
  </si>
  <si>
    <t>VL</t>
  </si>
  <si>
    <t>T</t>
  </si>
  <si>
    <t>D</t>
  </si>
  <si>
    <t>Method</t>
  </si>
  <si>
    <t>A</t>
  </si>
  <si>
    <t>B</t>
  </si>
  <si>
    <t>IO</t>
  </si>
  <si>
    <t>Logic</t>
  </si>
  <si>
    <t>Text</t>
  </si>
  <si>
    <t>Calculation</t>
  </si>
  <si>
    <t>Input/Output</t>
  </si>
  <si>
    <t>Set-up</t>
  </si>
  <si>
    <t>Application Notes:</t>
  </si>
  <si>
    <t>REQ</t>
  </si>
  <si>
    <t>DIS</t>
  </si>
  <si>
    <t>EXPL</t>
  </si>
  <si>
    <t>COD</t>
  </si>
  <si>
    <t>PRU</t>
  </si>
  <si>
    <t>DOC</t>
  </si>
  <si>
    <t>POSTM</t>
  </si>
  <si>
    <t>OTROS</t>
  </si>
  <si>
    <t>PSP0 Project Plan Summary - Program 1A</t>
  </si>
  <si>
    <t>Student</t>
  </si>
  <si>
    <t>Date</t>
  </si>
  <si>
    <t>Program#</t>
  </si>
  <si>
    <t>Instructor</t>
  </si>
  <si>
    <t>Language</t>
  </si>
  <si>
    <t>Plan</t>
  </si>
  <si>
    <t>Time in Phase (min.)</t>
  </si>
  <si>
    <t xml:space="preserve">    Total</t>
  </si>
  <si>
    <t>Phase</t>
  </si>
  <si>
    <t>Start</t>
  </si>
  <si>
    <t>Stop</t>
  </si>
  <si>
    <t>Interruption</t>
  </si>
  <si>
    <t>Comments</t>
  </si>
  <si>
    <t>Java</t>
  </si>
  <si>
    <t>*</t>
  </si>
  <si>
    <t>*Estimación basada en su conocimiento previo</t>
  </si>
  <si>
    <t>Febrero</t>
  </si>
  <si>
    <t>Marzo</t>
  </si>
  <si>
    <t>Abril</t>
  </si>
  <si>
    <t>Mayo</t>
  </si>
  <si>
    <t>Subtotal</t>
  </si>
  <si>
    <t>GRÁFICA DE BARRAS</t>
  </si>
  <si>
    <t>GRÁFICA DE PASTEL</t>
  </si>
  <si>
    <t>GRÁFICA DE TIEMPO REAL vs TIEMPO ESTIMADO</t>
  </si>
  <si>
    <t>El libro de trabajo incluye:</t>
  </si>
  <si>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</si>
  <si>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</si>
  <si>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r>
      <t>Summary</t>
    </r>
    <r>
      <rPr>
        <sz val="10"/>
        <rFont val="Arial"/>
      </rPr>
      <t xml:space="preserve"> - hoja de trabajo en donde deberán planear el tiempo estimado para realizar el proyecto. Registrarán además sus conteos mensuales por fase.</t>
    </r>
  </si>
  <si>
    <r>
      <t>TimeLog</t>
    </r>
    <r>
      <rPr>
        <sz val="10"/>
        <rFont val="Arial"/>
      </rPr>
      <t xml:space="preserve"> - una hoja de trabajo para registrar los datos de tiempo.</t>
    </r>
  </si>
  <si>
    <t>?????</t>
  </si>
  <si>
    <t>A. Sólo introduzca datos en las celdas sombreadas.</t>
  </si>
  <si>
    <t>C.  Utilice un libro nuevo por cada proyecto.</t>
  </si>
  <si>
    <r>
      <rPr>
        <b/>
        <sz val="10"/>
        <rFont val="Arial"/>
        <family val="2"/>
      </rPr>
      <t>Sugerencia</t>
    </r>
    <r>
      <rPr>
        <sz val="10"/>
        <rFont val="Arial"/>
      </rPr>
      <t>: en lugar de capturar tiempo de interrupción, realice un nuevo registro.</t>
    </r>
  </si>
  <si>
    <r>
      <rPr>
        <b/>
        <sz val="10"/>
        <rFont val="Arial"/>
        <family val="2"/>
      </rPr>
      <t xml:space="preserve">1.  Planear. </t>
    </r>
    <r>
      <rPr>
        <sz val="10"/>
        <rFont val="Arial"/>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</si>
  <si>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t>Instrucciones Generales</t>
  </si>
  <si>
    <r>
      <rPr>
        <b/>
        <sz val="10"/>
        <rFont val="Arial"/>
        <family val="2"/>
      </rPr>
      <t>2.</t>
    </r>
    <r>
      <rPr>
        <sz val="10"/>
        <rFont val="Arial"/>
      </rPr>
      <t xml:space="preserve">  </t>
    </r>
    <r>
      <rPr>
        <b/>
        <sz val="10"/>
        <rFont val="Arial"/>
        <family val="2"/>
      </rPr>
      <t>Registro.</t>
    </r>
    <r>
      <rPr>
        <sz val="10"/>
        <rFont val="Arial"/>
      </rPr>
      <t xml:space="preserve"> Durante el desarrollo del proyecto, utilice la hoja </t>
    </r>
    <r>
      <rPr>
        <i/>
        <sz val="10"/>
        <rFont val="Arial"/>
        <family val="2"/>
      </rPr>
      <t>TimeLog</t>
    </r>
    <r>
      <rPr>
        <sz val="10"/>
        <rFont val="Arial"/>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</si>
  <si>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family val="2"/>
      </rPr>
      <t xml:space="preserve">3.  Evaluación. </t>
    </r>
    <r>
      <rPr>
        <sz val="10"/>
        <rFont val="Arial"/>
      </rPr>
      <t xml:space="preserve">Al finalizar cada mes, deberá calcular la sumatoria de tiempos por fase, capture cada cálculo en la hoja </t>
    </r>
    <r>
      <rPr>
        <i/>
        <sz val="10"/>
        <rFont val="Arial"/>
        <family val="2"/>
      </rPr>
      <t>Summary</t>
    </r>
    <r>
      <rPr>
        <sz val="10"/>
        <rFont val="Arial"/>
      </rPr>
      <t>.</t>
    </r>
  </si>
  <si>
    <t>Realice al final de cada mes una gráfica de barras y una gráfica de pastel por fase. Realice y actualice cada mes, una gráfica de doble barra que compare lo planeado con el tiempo total acumulado.</t>
  </si>
  <si>
    <r>
      <t xml:space="preserve">B. La hoja de trabajo </t>
    </r>
    <r>
      <rPr>
        <i/>
        <sz val="10"/>
        <rFont val="Arial"/>
        <family val="2"/>
      </rPr>
      <t xml:space="preserve">TimeLog </t>
    </r>
    <r>
      <rPr>
        <sz val="10"/>
        <rFont val="Arial"/>
      </rPr>
      <t xml:space="preserve">incluye validaciones para las celdas </t>
    </r>
    <r>
      <rPr>
        <i/>
        <sz val="10"/>
        <rFont val="Arial"/>
        <family val="2"/>
      </rPr>
      <t>Project</t>
    </r>
    <r>
      <rPr>
        <sz val="10"/>
        <rFont val="Arial"/>
      </rPr>
      <t xml:space="preserve"> y </t>
    </r>
    <r>
      <rPr>
        <i/>
        <sz val="10"/>
        <rFont val="Arial"/>
        <family val="2"/>
      </rPr>
      <t>Phase</t>
    </r>
    <r>
      <rPr>
        <sz val="10"/>
        <rFont val="Arial"/>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</si>
  <si>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</si>
  <si>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</si>
  <si>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</si>
  <si>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</si>
  <si>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</si>
  <si>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</si>
  <si>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</si>
  <si>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</si>
  <si>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</si>
  <si>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Missael Hernandez Rosado</t>
  </si>
  <si>
    <t>Horario</t>
  </si>
  <si>
    <t>Juan Carlos Perez Arriaga</t>
  </si>
  <si>
    <t>continue el documento de ERS y agregue caracteristicas del usuario y restricciones.</t>
  </si>
  <si>
    <t>Se continuo con el documento y se terminaron las restricciones.</t>
  </si>
  <si>
    <t>Se corrigio el documento de ERS según las indicaciones del maestro</t>
  </si>
  <si>
    <t>se crearon las tablas de los CU de administrar alumno y maestro</t>
  </si>
  <si>
    <t>Se continuo con la creacion de tablas faltantes de los casos de uso de maestros y alumnos.</t>
  </si>
  <si>
    <t>se terminaron las descripciones de CU de los maestros y se actualizo mi PSPA, se comenzo diagramas de robustez de los casos</t>
  </si>
  <si>
    <t>Se corrigieron errores de DCU, se añadio CU para eliminar danza, se actualizaron y completaron algunos diagramas de robustez.</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</si>
</sst>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mm/dd/yy"/>
    <numFmt numFmtId="166" formatCode="0.00_)"/>
    <numFmt numFmtId="167" formatCode="mm/dd/\Y\Y"/>
  </numFmts>
  <fonts count="23" x14ac:knownFonts="1">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sz val="8"/>
      <color rgb="FF000000"/>
      <name val="Arial"/>
      <family val="2"/>
    </font>
    <font>
      <i/>
      <sz val="10"/>
      <name val="Arial"/>
      <family val="2"/>
    </font>
    <font>
      <u/>
      <sz val="10"/>
      <color theme="10"/>
      <name val="Arial"/>
    </font>
    <font>
      <u/>
      <sz val="10"/>
      <color theme="11"/>
      <name val="Arial"/>
    </font>
  </fonts>
  <fills count="5">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6">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cellStyleXfs>
  <cellXfs count="80">
    <xf numFmtId="0" fontId="0" fillId="0" borderId="0" xfId="0"/>
    <xf numFmtId="0" fontId="6" fillId="2" borderId="0" xfId="0" applyFont="1" applyFill="1"/>
    <xf numFmtId="0" fontId="5" fillId="2" borderId="0" xfId="7" applyFont="1" applyFill="1" applyProtection="1"/>
    <xf numFmtId="164" fontId="6" fillId="0" borderId="0" xfId="6" applyNumberFormat="1" applyFont="1" applyProtection="1">
      <protection locked="0"/>
    </xf>
    <xf numFmtId="0" fontId="6" fillId="0" borderId="0" xfId="0" applyFont="1" applyFill="1" applyProtection="1">
      <protection locked="0"/>
    </xf>
    <xf numFmtId="0" fontId="6" fillId="2" borderId="0" xfId="0" applyFont="1" applyFill="1" applyBorder="1"/>
    <xf numFmtId="0" fontId="5" fillId="2" borderId="0" xfId="7" applyFont="1" applyFill="1" applyBorder="1" applyAlignment="1" applyProtection="1">
      <alignment horizontal="center" wrapText="1"/>
    </xf>
    <xf numFmtId="0" fontId="6" fillId="0" borderId="0" xfId="0" applyFont="1"/>
    <xf numFmtId="14" fontId="6" fillId="2" borderId="1" xfId="7" applyNumberFormat="1" applyFont="1" applyFill="1" applyBorder="1" applyAlignment="1" applyProtection="1">
      <alignment horizontal="center" wrapText="1"/>
    </xf>
    <xf numFmtId="0" fontId="6" fillId="2" borderId="1" xfId="7" applyFont="1" applyFill="1" applyBorder="1" applyAlignment="1" applyProtection="1">
      <alignment horizontal="center" wrapText="1"/>
    </xf>
    <xf numFmtId="164" fontId="6" fillId="2" borderId="1" xfId="7" applyNumberFormat="1" applyFont="1" applyFill="1" applyBorder="1" applyAlignment="1" applyProtection="1">
      <alignment horizontal="center" wrapText="1"/>
    </xf>
    <xf numFmtId="164" fontId="6" fillId="0" borderId="0" xfId="7" applyNumberFormat="1" applyFont="1" applyFill="1" applyProtection="1">
      <protection locked="0"/>
    </xf>
    <xf numFmtId="0" fontId="6" fillId="0" borderId="0" xfId="7" applyFont="1" applyFill="1" applyProtection="1">
      <protection locked="0"/>
    </xf>
    <xf numFmtId="14" fontId="6" fillId="0" borderId="0" xfId="7" applyNumberFormat="1" applyFont="1" applyFill="1" applyProtection="1">
      <protection locked="0"/>
    </xf>
    <xf numFmtId="0" fontId="6" fillId="0" borderId="0" xfId="0" applyFont="1" applyFill="1" applyBorder="1"/>
    <xf numFmtId="0" fontId="6" fillId="2" borderId="0" xfId="0" applyFont="1" applyFill="1" applyBorder="1" applyAlignment="1" applyProtection="1">
      <alignment horizontal="center"/>
    </xf>
    <xf numFmtId="0" fontId="4" fillId="2" borderId="0" xfId="5" applyFont="1" applyFill="1"/>
    <xf numFmtId="0" fontId="4" fillId="0" borderId="0" xfId="5" applyFont="1" applyFill="1" applyAlignment="1">
      <alignment horizontal="justify" vertical="top" wrapText="1"/>
    </xf>
    <xf numFmtId="0" fontId="3" fillId="0" borderId="0" xfId="5" applyFont="1" applyFill="1" applyAlignment="1">
      <alignment horizontal="justify" vertical="top" wrapText="1"/>
    </xf>
    <xf numFmtId="0" fontId="1" fillId="0" borderId="0" xfId="5" applyFont="1" applyFill="1" applyAlignment="1">
      <alignment horizontal="justify" vertical="top" wrapText="1"/>
    </xf>
    <xf numFmtId="0" fontId="2" fillId="0" borderId="0" xfId="5" applyFont="1" applyFill="1" applyAlignment="1">
      <alignment horizontal="justify" vertical="top" wrapText="1"/>
    </xf>
    <xf numFmtId="0" fontId="3" fillId="0" borderId="0" xfId="5" applyFont="1" applyFill="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pplyProtection="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0" applyNumberFormat="1" applyFont="1" applyFill="1" applyProtection="1">
      <protection locked="0"/>
    </xf>
    <xf numFmtId="1" fontId="6" fillId="0" borderId="0" xfId="7" applyNumberFormat="1" applyFont="1" applyFill="1" applyAlignme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pplyProtection="1">
      <alignment horizontal="center" wrapText="1"/>
    </xf>
    <xf numFmtId="20" fontId="6" fillId="0" borderId="0" xfId="7" applyNumberFormat="1" applyFont="1" applyFill="1" applyProtection="1">
      <protection locked="0"/>
    </xf>
    <xf numFmtId="0" fontId="6" fillId="0" borderId="0" xfId="7" applyFont="1" applyFill="1" applyAlignme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165" fontId="6" fillId="0" borderId="0" xfId="7" applyNumberFormat="1" applyFont="1" applyFill="1" applyProtection="1">
      <protection locked="0"/>
    </xf>
    <xf numFmtId="0" fontId="6" fillId="0" borderId="0" xfId="7" applyFont="1" applyFill="1" applyAlignment="1" applyProtection="1">
      <alignment wrapText="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0" fontId="12" fillId="4" borderId="0" xfId="0" applyFont="1" applyFill="1" applyAlignment="1">
      <alignment vertical="center" wrapText="1"/>
    </xf>
    <xf numFmtId="0" fontId="3" fillId="0" borderId="0" xfId="0" applyFont="1"/>
    <xf numFmtId="0" fontId="13" fillId="0" borderId="0" xfId="9" applyFont="1" applyProtection="1"/>
    <xf numFmtId="0" fontId="2" fillId="0" borderId="0" xfId="9" applyFont="1" applyProtection="1"/>
    <xf numFmtId="0" fontId="2" fillId="0" borderId="0" xfId="9" applyFont="1" applyBorder="1" applyProtection="1"/>
    <xf numFmtId="0" fontId="2" fillId="0" borderId="0" xfId="9" applyFont="1" applyFill="1" applyBorder="1" applyProtection="1"/>
    <xf numFmtId="0" fontId="2" fillId="0" borderId="0" xfId="9" applyFont="1" applyAlignment="1" applyProtection="1">
      <alignment horizontal="left"/>
    </xf>
    <xf numFmtId="0" fontId="3" fillId="0" borderId="0" xfId="9" applyFont="1" applyAlignment="1" applyProtection="1">
      <alignment horizontal="centerContinuous"/>
    </xf>
    <xf numFmtId="0" fontId="3" fillId="0" borderId="0" xfId="9" applyFont="1" applyBorder="1" applyAlignment="1" applyProtection="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applyBorder="1" applyProtection="1"/>
    <xf numFmtId="0" fontId="3" fillId="0" borderId="0" xfId="9" applyFont="1" applyProtection="1"/>
    <xf numFmtId="1" fontId="7" fillId="0" borderId="2" xfId="9" applyNumberFormat="1" applyFont="1" applyFill="1" applyBorder="1" applyProtection="1"/>
    <xf numFmtId="164" fontId="14" fillId="1" borderId="2" xfId="9" applyNumberFormat="1" applyFont="1" applyFill="1" applyBorder="1" applyProtection="1">
      <protection locked="0"/>
    </xf>
    <xf numFmtId="1" fontId="7" fillId="0" borderId="2" xfId="9" applyNumberFormat="1" applyFill="1" applyBorder="1" applyProtection="1"/>
    <xf numFmtId="0" fontId="7" fillId="0" borderId="0" xfId="9" applyProtection="1"/>
    <xf numFmtId="164" fontId="2" fillId="0" borderId="0" xfId="9" applyNumberFormat="1" applyFont="1" applyProtection="1"/>
    <xf numFmtId="0" fontId="2" fillId="0" borderId="0" xfId="0" applyFont="1"/>
    <xf numFmtId="0" fontId="15" fillId="0" borderId="0" xfId="0" applyFont="1"/>
    <xf numFmtId="0" fontId="16" fillId="0" borderId="0" xfId="0" applyFont="1"/>
    <xf numFmtId="0" fontId="18" fillId="0" borderId="0" xfId="9" applyFont="1" applyProtection="1"/>
    <xf numFmtId="164" fontId="15" fillId="0" borderId="0" xfId="7" applyNumberFormat="1" applyFont="1" applyFill="1" applyProtection="1">
      <protection locked="0"/>
    </xf>
    <xf numFmtId="0" fontId="15" fillId="0" borderId="0" xfId="7" applyFont="1" applyFill="1" applyProtection="1">
      <protection locked="0"/>
    </xf>
    <xf numFmtId="0" fontId="17" fillId="0" borderId="0" xfId="9" applyFont="1" applyAlignment="1" applyProtection="1">
      <alignment horizontal="right"/>
    </xf>
    <xf numFmtId="1" fontId="7" fillId="0" borderId="0" xfId="9" applyNumberFormat="1" applyFont="1" applyFill="1" applyBorder="1" applyProtection="1"/>
    <xf numFmtId="1" fontId="7" fillId="0" borderId="0" xfId="9" applyNumberFormat="1" applyFill="1" applyBorder="1" applyProtection="1"/>
    <xf numFmtId="0" fontId="2" fillId="0" borderId="0" xfId="5" applyFont="1" applyFill="1" applyAlignment="1">
      <alignment horizontal="justify" vertical="top"/>
    </xf>
    <xf numFmtId="0" fontId="5" fillId="0" borderId="0" xfId="0" applyFont="1" applyAlignment="1">
      <alignment horizontal="left" indent="1"/>
    </xf>
    <xf numFmtId="21" fontId="6" fillId="0" borderId="0" xfId="6" applyNumberFormat="1" applyFont="1" applyProtection="1">
      <protection locked="0"/>
    </xf>
    <xf numFmtId="167"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0"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cellXfs>
  <cellStyles count="16">
    <cellStyle name="Grey" xfId="1"/>
    <cellStyle name="Hipervínculo" xfId="10" builtinId="8" hidden="1"/>
    <cellStyle name="Hipervínculo" xfId="12" builtinId="8" hidden="1"/>
    <cellStyle name="Hipervínculo" xfId="14" builtinId="8" hidden="1"/>
    <cellStyle name="Hipervínculo visitado" xfId="11" builtinId="9" hidden="1"/>
    <cellStyle name="Hipervínculo visitado" xfId="13" builtinId="9" hidden="1"/>
    <cellStyle name="Hipervínculo visitado" xfId="15" builtinId="9" hidden="1"/>
    <cellStyle name="Input [yellow]" xfId="2"/>
    <cellStyle name="no dec" xfId="3"/>
    <cellStyle name="Normal" xfId="0" builtinId="0"/>
    <cellStyle name="Normal - Style1" xfId="4"/>
    <cellStyle name="Normal_Stuwbk97.test" xfId="5"/>
    <cellStyle name="Normal_Stuwbk97vBr1.10" xfId="6"/>
    <cellStyle name="Normal_Stuwbk97vBr1.11" xfId="7"/>
    <cellStyle name="Normal_Stuwbk97vBr1.8.a" xfId="9"/>
    <cellStyle name="Percent [2]" xfId="8"/>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76200</xdr:rowOff>
        </xdr:to>
        <xdr:sp macro="" textlink="">
          <xdr:nvSpPr>
            <xdr:cNvPr id="1025" name="projSelDropDown"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774700</xdr:colOff>
          <xdr:row>4</xdr:row>
          <xdr:rowOff>101600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row r="1">
          <cell r="A1" t="str">
            <v>ID</v>
          </cell>
          <cell r="B1" t="str">
            <v>Name</v>
          </cell>
          <cell r="C1" t="str">
            <v>Initials</v>
          </cell>
          <cell r="D1" t="str">
            <v>Phone</v>
          </cell>
          <cell r="E1" t="str">
            <v>e-mail</v>
          </cell>
          <cell r="F1" t="str">
            <v>Workbook Filename</v>
          </cell>
          <cell r="G1" t="str">
            <v>Planned Tasks</v>
          </cell>
          <cell r="H1" t="str">
            <v>Planned Task Hours</v>
          </cell>
          <cell r="I1" t="str">
            <v>Planned Schedule Weeks</v>
          </cell>
        </row>
        <row r="2">
          <cell r="A2">
            <v>1</v>
          </cell>
          <cell r="B2" t="str">
            <v>Watts Humphrey</v>
          </cell>
          <cell r="C2" t="str">
            <v>wsh</v>
          </cell>
          <cell r="F2" t="str">
            <v>wsh.xls</v>
          </cell>
        </row>
        <row r="3">
          <cell r="A3">
            <v>2</v>
          </cell>
          <cell r="B3" t="str">
            <v>Jim Over</v>
          </cell>
          <cell r="C3" t="str">
            <v>jwo</v>
          </cell>
          <cell r="F3" t="str">
            <v>jwo.xls</v>
          </cell>
        </row>
        <row r="4">
          <cell r="A4">
            <v>3</v>
          </cell>
          <cell r="B4" t="str">
            <v>Dan Burton</v>
          </cell>
          <cell r="C4" t="str">
            <v>db</v>
          </cell>
          <cell r="F4" t="str">
            <v>db.xls</v>
          </cell>
        </row>
        <row r="5">
          <cell r="A5">
            <v>4</v>
          </cell>
          <cell r="B5" t="str">
            <v>Marsha Pomeroy-Huff</v>
          </cell>
          <cell r="C5" t="str">
            <v>mph</v>
          </cell>
          <cell r="F5" t="str">
            <v>mph.xls</v>
          </cell>
        </row>
        <row r="6">
          <cell r="A6">
            <v>5</v>
          </cell>
          <cell r="B6" t="str">
            <v>Julia Mullaney</v>
          </cell>
          <cell r="C6" t="str">
            <v>jlg</v>
          </cell>
          <cell r="F6" t="str">
            <v>jlg.xls</v>
          </cell>
        </row>
        <row r="7">
          <cell r="A7">
            <v>6</v>
          </cell>
          <cell r="B7" t="str">
            <v>Anita Carleton</v>
          </cell>
          <cell r="C7" t="str">
            <v>adc</v>
          </cell>
          <cell r="F7" t="str">
            <v>adc.xls</v>
          </cell>
        </row>
        <row r="8">
          <cell r="A8">
            <v>7</v>
          </cell>
          <cell r="B8" t="str">
            <v>Jim McHale</v>
          </cell>
          <cell r="C8" t="str">
            <v>jdm</v>
          </cell>
          <cell r="F8" t="str">
            <v>jdm.xls</v>
          </cell>
        </row>
        <row r="9">
          <cell r="A9">
            <v>8</v>
          </cell>
          <cell r="B9" t="str">
            <v>Noopur Davis</v>
          </cell>
          <cell r="C9" t="str">
            <v>nd</v>
          </cell>
          <cell r="F9" t="str">
            <v>nd.xls</v>
          </cell>
        </row>
        <row r="10">
          <cell r="A10">
            <v>9</v>
          </cell>
          <cell r="B10" t="str">
            <v>Alan Willett</v>
          </cell>
          <cell r="C10" t="str">
            <v>aww</v>
          </cell>
          <cell r="F10" t="str">
            <v>aww.xls</v>
          </cell>
        </row>
        <row r="11">
          <cell r="A11">
            <v>10</v>
          </cell>
          <cell r="B11" t="str">
            <v>Kim Campbell</v>
          </cell>
          <cell r="C11" t="str">
            <v>kc</v>
          </cell>
        </row>
        <row r="12">
          <cell r="A12">
            <v>11</v>
          </cell>
          <cell r="B12" t="str">
            <v>Caroline Graettinger</v>
          </cell>
          <cell r="C12" t="str">
            <v>cpg</v>
          </cell>
          <cell r="F12" t="str">
            <v>cpg.xls</v>
          </cell>
        </row>
        <row r="13">
          <cell r="A13">
            <v>12</v>
          </cell>
          <cell r="B13" t="str">
            <v>Dan Wall</v>
          </cell>
          <cell r="C13" t="str">
            <v>dsw</v>
          </cell>
          <cell r="F13" t="str">
            <v>dsw.xls</v>
          </cell>
        </row>
      </sheetData>
      <sheetData sheetId="7">
        <row r="2">
          <cell r="A2" t="str">
            <v>Stakeholders</v>
          </cell>
          <cell r="B2" t="str">
            <v>Goal</v>
          </cell>
          <cell r="C2" t="str">
            <v>Goal</v>
          </cell>
          <cell r="D2" t="str">
            <v>Actual</v>
          </cell>
          <cell r="E2" t="str">
            <v>Who</v>
          </cell>
          <cell r="F2" t="str">
            <v>When</v>
          </cell>
        </row>
      </sheetData>
      <sheetData sheetId="8"/>
      <sheetData sheetId="9"/>
      <sheetData sheetId="10"/>
      <sheetData sheetId="11">
        <row r="7">
          <cell r="A7" t="str">
            <v>ID</v>
          </cell>
          <cell r="B7" t="str">
            <v>Assembly, Sub-Assembly, or Part Name</v>
          </cell>
          <cell r="C7" t="str">
            <v>(A)ssembly or (P)art</v>
          </cell>
          <cell r="D7" t="str">
            <v>Parent Assembly Name</v>
          </cell>
          <cell r="E7" t="str">
            <v>Owner</v>
          </cell>
          <cell r="F7" t="str">
            <v>Size Measure</v>
          </cell>
          <cell r="G7" t="str">
            <v xml:space="preserve">Base </v>
          </cell>
          <cell r="H7" t="str">
            <v xml:space="preserve">Deleted </v>
          </cell>
          <cell r="I7" t="str">
            <v xml:space="preserve">Modified </v>
          </cell>
          <cell r="J7" t="str">
            <v xml:space="preserve">Added </v>
          </cell>
          <cell r="K7" t="str">
            <v xml:space="preserve">Reused </v>
          </cell>
          <cell r="L7" t="str">
            <v xml:space="preserve">New and Changed </v>
          </cell>
          <cell r="M7" t="str">
            <v xml:space="preserve">Total </v>
          </cell>
          <cell r="N7" t="str">
            <v xml:space="preserve">Total New Reuse </v>
          </cell>
          <cell r="O7" t="str">
            <v xml:space="preserve">Base </v>
          </cell>
          <cell r="P7" t="str">
            <v xml:space="preserve">Deleted </v>
          </cell>
          <cell r="Q7" t="str">
            <v xml:space="preserve">Modified </v>
          </cell>
          <cell r="R7" t="str">
            <v xml:space="preserve">Added </v>
          </cell>
          <cell r="S7" t="str">
            <v xml:space="preserve">Reused </v>
          </cell>
          <cell r="T7" t="str">
            <v xml:space="preserve">New and Changed </v>
          </cell>
          <cell r="U7" t="str">
            <v xml:space="preserve">Total </v>
          </cell>
          <cell r="V7" t="str">
            <v xml:space="preserve">Total New Reuse </v>
          </cell>
          <cell r="W7" t="str">
            <v>Planning</v>
          </cell>
          <cell r="X7" t="str">
            <v>Requirements</v>
          </cell>
          <cell r="Y7" t="str">
            <v>System Test Plan</v>
          </cell>
          <cell r="Z7" t="str">
            <v>REQ Inspection</v>
          </cell>
          <cell r="AA7" t="str">
            <v>High-Level Design</v>
          </cell>
          <cell r="AB7" t="str">
            <v>Integration Test Plan</v>
          </cell>
          <cell r="AC7" t="str">
            <v>HLD Inspection</v>
          </cell>
          <cell r="AD7" t="str">
            <v>Detailed Design</v>
          </cell>
          <cell r="AE7" t="str">
            <v>DLD Review</v>
          </cell>
          <cell r="AF7" t="str">
            <v>Test Development</v>
          </cell>
          <cell r="AG7" t="str">
            <v>DLD Inspection</v>
          </cell>
          <cell r="AH7" t="str">
            <v>Code</v>
          </cell>
          <cell r="AI7" t="str">
            <v>Code Review</v>
          </cell>
          <cell r="AJ7" t="str">
            <v>Compile</v>
          </cell>
          <cell r="AK7" t="str">
            <v>Code Inspection</v>
          </cell>
          <cell r="AL7" t="str">
            <v>Unit Test</v>
          </cell>
          <cell r="AM7" t="str">
            <v>Build and Integration Test</v>
          </cell>
          <cell r="AN7" t="str">
            <v>System Test</v>
          </cell>
          <cell r="AO7" t="str">
            <v>Acceptance Test</v>
          </cell>
          <cell r="AP7" t="str">
            <v>Product Life</v>
          </cell>
          <cell r="AQ7" t="str">
            <v>Planning</v>
          </cell>
          <cell r="AR7" t="str">
            <v>Requirements</v>
          </cell>
          <cell r="AS7" t="str">
            <v>System Test Plan</v>
          </cell>
          <cell r="AT7" t="str">
            <v>REQ Inspection</v>
          </cell>
          <cell r="AU7" t="str">
            <v>High-Level Design</v>
          </cell>
          <cell r="AV7" t="str">
            <v>Integration Test Plan</v>
          </cell>
          <cell r="AW7" t="str">
            <v>HLD Inspection</v>
          </cell>
          <cell r="AX7" t="str">
            <v>Detailed Design</v>
          </cell>
          <cell r="AY7" t="str">
            <v>DLD Review</v>
          </cell>
          <cell r="AZ7" t="str">
            <v>Test Development</v>
          </cell>
          <cell r="BA7" t="str">
            <v>DLD Inspection</v>
          </cell>
          <cell r="BB7" t="str">
            <v>Code</v>
          </cell>
          <cell r="BC7" t="str">
            <v>Code Review</v>
          </cell>
          <cell r="BD7" t="str">
            <v>Compile</v>
          </cell>
          <cell r="BE7" t="str">
            <v>Code Inspection</v>
          </cell>
          <cell r="BF7" t="str">
            <v>Unit Test</v>
          </cell>
          <cell r="BG7" t="str">
            <v>Build and Integration Test</v>
          </cell>
          <cell r="BH7" t="str">
            <v>System Test</v>
          </cell>
          <cell r="BI7" t="str">
            <v>Acceptance Test</v>
          </cell>
          <cell r="BJ7" t="str">
            <v>Product Life</v>
          </cell>
          <cell r="BK7" t="str">
            <v>Planning</v>
          </cell>
          <cell r="BL7" t="str">
            <v>Requirements</v>
          </cell>
          <cell r="BM7" t="str">
            <v>System Test Plan</v>
          </cell>
          <cell r="BN7" t="str">
            <v>REQ Inspection</v>
          </cell>
          <cell r="BO7" t="str">
            <v>High-Level Design</v>
          </cell>
          <cell r="BP7" t="str">
            <v>Integration Test Plan</v>
          </cell>
          <cell r="BQ7" t="str">
            <v>HLD Inspection</v>
          </cell>
          <cell r="BR7" t="str">
            <v>Detailed Design</v>
          </cell>
          <cell r="BS7" t="str">
            <v>DLD Review</v>
          </cell>
          <cell r="BT7" t="str">
            <v>Test Development</v>
          </cell>
          <cell r="BU7" t="str">
            <v>DLD Inspection</v>
          </cell>
          <cell r="BV7" t="str">
            <v>Code</v>
          </cell>
          <cell r="BW7" t="str">
            <v>Code Review</v>
          </cell>
          <cell r="BX7" t="str">
            <v>Compile</v>
          </cell>
          <cell r="BY7" t="str">
            <v>Code Inspection</v>
          </cell>
          <cell r="BZ7" t="str">
            <v>Unit Test</v>
          </cell>
          <cell r="CA7" t="str">
            <v>Build and Integration Test</v>
          </cell>
          <cell r="CB7" t="str">
            <v>System Test</v>
          </cell>
          <cell r="CC7" t="str">
            <v>Acceptance Test</v>
          </cell>
          <cell r="CD7" t="str">
            <v>Product Life</v>
          </cell>
          <cell r="CE7" t="str">
            <v>Planning</v>
          </cell>
          <cell r="CF7" t="str">
            <v>Requirements</v>
          </cell>
          <cell r="CG7" t="str">
            <v>System Test Plan</v>
          </cell>
          <cell r="CH7" t="str">
            <v>REQ Inspection</v>
          </cell>
          <cell r="CI7" t="str">
            <v>High-Level Design</v>
          </cell>
          <cell r="CJ7" t="str">
            <v>Integration Test Plan</v>
          </cell>
          <cell r="CK7" t="str">
            <v>HLD Inspection</v>
          </cell>
          <cell r="CL7" t="str">
            <v>Detailed Design</v>
          </cell>
          <cell r="CM7" t="str">
            <v>DLD Review</v>
          </cell>
          <cell r="CN7" t="str">
            <v>Test Development</v>
          </cell>
          <cell r="CO7" t="str">
            <v>DLD Inspection</v>
          </cell>
          <cell r="CP7" t="str">
            <v>Code</v>
          </cell>
          <cell r="CQ7" t="str">
            <v>Code Review</v>
          </cell>
          <cell r="CR7" t="str">
            <v>Compile</v>
          </cell>
          <cell r="CS7" t="str">
            <v>Code Inspection</v>
          </cell>
          <cell r="CT7" t="str">
            <v>Unit Test</v>
          </cell>
          <cell r="CU7" t="str">
            <v>Build and Integration Test</v>
          </cell>
          <cell r="CV7" t="str">
            <v>System Test</v>
          </cell>
          <cell r="CW7" t="str">
            <v>Acceptance Test</v>
          </cell>
          <cell r="CX7" t="str">
            <v>Product Life</v>
          </cell>
          <cell r="CY7" t="str">
            <v>Management and Miscellaneous</v>
          </cell>
          <cell r="CZ7" t="str">
            <v>Launch and Strategy</v>
          </cell>
          <cell r="DA7" t="str">
            <v>Planning</v>
          </cell>
          <cell r="DB7" t="str">
            <v>Requirements</v>
          </cell>
          <cell r="DC7" t="str">
            <v>System Test Plan</v>
          </cell>
          <cell r="DD7" t="str">
            <v>REQ Inspection</v>
          </cell>
          <cell r="DE7" t="str">
            <v>High-Level Design</v>
          </cell>
          <cell r="DF7" t="str">
            <v>Integration Test Plan</v>
          </cell>
          <cell r="DG7" t="str">
            <v>HLD Inspection</v>
          </cell>
          <cell r="DH7" t="str">
            <v>Detailed Design</v>
          </cell>
          <cell r="DI7" t="str">
            <v>DLD Review</v>
          </cell>
          <cell r="DJ7" t="str">
            <v>Test Development</v>
          </cell>
          <cell r="DK7" t="str">
            <v>DLD Inspection</v>
          </cell>
          <cell r="DL7" t="str">
            <v>Code</v>
          </cell>
          <cell r="DM7" t="str">
            <v>Code Review</v>
          </cell>
          <cell r="DN7" t="str">
            <v>Compile</v>
          </cell>
          <cell r="DO7" t="str">
            <v>Code Inspection</v>
          </cell>
          <cell r="DP7" t="str">
            <v>Unit Test</v>
          </cell>
          <cell r="DQ7" t="str">
            <v>Build and Integration Test</v>
          </cell>
          <cell r="DR7" t="str">
            <v>System Test</v>
          </cell>
          <cell r="DS7" t="str">
            <v>Documentation</v>
          </cell>
          <cell r="DT7" t="str">
            <v>Postmortem</v>
          </cell>
          <cell r="DU7" t="str">
            <v>Management and Miscellaneous</v>
          </cell>
          <cell r="DV7" t="str">
            <v>Launch and Strategy</v>
          </cell>
          <cell r="DW7" t="str">
            <v>Planning</v>
          </cell>
          <cell r="DX7" t="str">
            <v>Requirements</v>
          </cell>
          <cell r="DY7" t="str">
            <v>System Test Plan</v>
          </cell>
          <cell r="DZ7" t="str">
            <v>REQ Inspection</v>
          </cell>
          <cell r="EA7" t="str">
            <v>High-Level Design</v>
          </cell>
          <cell r="EB7" t="str">
            <v>Integration Test Plan</v>
          </cell>
          <cell r="EC7" t="str">
            <v>HLD Inspection</v>
          </cell>
          <cell r="ED7" t="str">
            <v>Detailed Design</v>
          </cell>
          <cell r="EE7" t="str">
            <v>DLD Review</v>
          </cell>
          <cell r="EF7" t="str">
            <v>Test Development</v>
          </cell>
          <cell r="EG7" t="str">
            <v>DLD Inspection</v>
          </cell>
          <cell r="EH7" t="str">
            <v>Code</v>
          </cell>
          <cell r="EI7" t="str">
            <v>Code Review</v>
          </cell>
          <cell r="EJ7" t="str">
            <v>Compile</v>
          </cell>
          <cell r="EK7" t="str">
            <v>Code Inspection</v>
          </cell>
          <cell r="EL7" t="str">
            <v>Unit Test</v>
          </cell>
          <cell r="EM7" t="str">
            <v>Build and Integration Test</v>
          </cell>
          <cell r="EN7" t="str">
            <v>System Test</v>
          </cell>
          <cell r="EO7" t="str">
            <v>Documentation</v>
          </cell>
          <cell r="EP7" t="str">
            <v>Postmortem</v>
          </cell>
        </row>
        <row r="8">
          <cell r="A8">
            <v>1</v>
          </cell>
          <cell r="B8" t="str">
            <v>2004 plan</v>
          </cell>
          <cell r="C8" t="str">
            <v>A</v>
          </cell>
          <cell r="D8" t="str">
            <v>SYSTEM</v>
          </cell>
          <cell r="F8" t="str">
            <v>Text Pages</v>
          </cell>
          <cell r="G8">
            <v>0</v>
          </cell>
          <cell r="H8">
            <v>0</v>
          </cell>
          <cell r="I8">
            <v>0</v>
          </cell>
          <cell r="J8">
            <v>100</v>
          </cell>
          <cell r="K8">
            <v>0</v>
          </cell>
          <cell r="L8">
            <v>100</v>
          </cell>
          <cell r="M8">
            <v>100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7</v>
          </cell>
          <cell r="AR8">
            <v>0</v>
          </cell>
          <cell r="AS8">
            <v>0</v>
          </cell>
          <cell r="AT8">
            <v>0</v>
          </cell>
          <cell r="AU8">
            <v>0</v>
          </cell>
          <cell r="AV8">
            <v>0</v>
          </cell>
          <cell r="AW8">
            <v>0</v>
          </cell>
          <cell r="AX8">
            <v>0</v>
          </cell>
          <cell r="AY8">
            <v>0</v>
          </cell>
          <cell r="AZ8">
            <v>0</v>
          </cell>
          <cell r="BA8">
            <v>0</v>
          </cell>
          <cell r="BB8">
            <v>18</v>
          </cell>
          <cell r="BC8">
            <v>0</v>
          </cell>
          <cell r="BD8">
            <v>0</v>
          </cell>
          <cell r="BE8">
            <v>0</v>
          </cell>
          <cell r="BF8">
            <v>0</v>
          </cell>
          <cell r="BG8">
            <v>0</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cell r="BZ8">
            <v>0</v>
          </cell>
          <cell r="CA8">
            <v>0</v>
          </cell>
          <cell r="CB8">
            <v>0</v>
          </cell>
          <cell r="CC8">
            <v>0</v>
          </cell>
          <cell r="CD8">
            <v>0</v>
          </cell>
          <cell r="CE8">
            <v>0</v>
          </cell>
          <cell r="CF8">
            <v>0</v>
          </cell>
          <cell r="CG8">
            <v>0</v>
          </cell>
          <cell r="CH8">
            <v>0</v>
          </cell>
          <cell r="CI8">
            <v>0</v>
          </cell>
          <cell r="CJ8">
            <v>0</v>
          </cell>
          <cell r="CK8">
            <v>0</v>
          </cell>
          <cell r="CL8">
            <v>4</v>
          </cell>
          <cell r="CM8">
            <v>0</v>
          </cell>
          <cell r="CN8">
            <v>0</v>
          </cell>
          <cell r="CO8">
            <v>0</v>
          </cell>
          <cell r="CP8">
            <v>1</v>
          </cell>
          <cell r="CQ8">
            <v>17</v>
          </cell>
          <cell r="CR8">
            <v>0</v>
          </cell>
          <cell r="CS8">
            <v>0</v>
          </cell>
          <cell r="CT8">
            <v>3</v>
          </cell>
          <cell r="CU8">
            <v>0</v>
          </cell>
          <cell r="CV8">
            <v>0</v>
          </cell>
          <cell r="CW8">
            <v>0</v>
          </cell>
          <cell r="CX8">
            <v>0</v>
          </cell>
          <cell r="CY8">
            <v>0</v>
          </cell>
          <cell r="CZ8">
            <v>0</v>
          </cell>
          <cell r="DA8">
            <v>57</v>
          </cell>
          <cell r="DB8">
            <v>0</v>
          </cell>
          <cell r="DC8">
            <v>0</v>
          </cell>
          <cell r="DD8">
            <v>3</v>
          </cell>
          <cell r="DE8">
            <v>0</v>
          </cell>
          <cell r="DF8">
            <v>0</v>
          </cell>
          <cell r="DG8">
            <v>3</v>
          </cell>
          <cell r="DH8">
            <v>2</v>
          </cell>
          <cell r="DI8">
            <v>1</v>
          </cell>
          <cell r="DJ8">
            <v>0</v>
          </cell>
          <cell r="DK8">
            <v>9</v>
          </cell>
          <cell r="DL8">
            <v>103</v>
          </cell>
          <cell r="DM8">
            <v>10.5</v>
          </cell>
          <cell r="DN8">
            <v>0</v>
          </cell>
          <cell r="DO8">
            <v>108</v>
          </cell>
          <cell r="DP8">
            <v>36.5</v>
          </cell>
          <cell r="DQ8">
            <v>1</v>
          </cell>
          <cell r="DR8">
            <v>130</v>
          </cell>
          <cell r="DS8">
            <v>0</v>
          </cell>
          <cell r="DT8">
            <v>3</v>
          </cell>
          <cell r="DU8">
            <v>0</v>
          </cell>
          <cell r="DV8">
            <v>0</v>
          </cell>
          <cell r="DW8">
            <v>3</v>
          </cell>
          <cell r="DX8">
            <v>0</v>
          </cell>
          <cell r="DY8">
            <v>0</v>
          </cell>
          <cell r="DZ8">
            <v>0</v>
          </cell>
          <cell r="EA8">
            <v>0</v>
          </cell>
          <cell r="EB8">
            <v>0</v>
          </cell>
          <cell r="EC8">
            <v>0</v>
          </cell>
          <cell r="ED8">
            <v>2.6947222222222211</v>
          </cell>
          <cell r="EE8">
            <v>0</v>
          </cell>
          <cell r="EF8">
            <v>0</v>
          </cell>
          <cell r="EG8">
            <v>0</v>
          </cell>
          <cell r="EH8">
            <v>23.618333333333339</v>
          </cell>
          <cell r="EI8">
            <v>2.9222222222222225</v>
          </cell>
          <cell r="EJ8">
            <v>0</v>
          </cell>
          <cell r="EK8">
            <v>21.03305555555556</v>
          </cell>
          <cell r="EL8">
            <v>0.75777777777777855</v>
          </cell>
          <cell r="EM8">
            <v>0</v>
          </cell>
          <cell r="EN8">
            <v>19.00416666666667</v>
          </cell>
          <cell r="EO8">
            <v>0</v>
          </cell>
          <cell r="EP8">
            <v>0</v>
          </cell>
        </row>
        <row r="9">
          <cell r="A9">
            <v>2</v>
          </cell>
          <cell r="B9" t="str">
            <v>2004 plan</v>
          </cell>
          <cell r="C9" t="str">
            <v>A</v>
          </cell>
          <cell r="D9" t="str">
            <v>SYSTEM</v>
          </cell>
          <cell r="F9" t="str">
            <v>LOC</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B9">
            <v>0</v>
          </cell>
          <cell r="CC9">
            <v>0</v>
          </cell>
          <cell r="CD9">
            <v>0</v>
          </cell>
          <cell r="CE9">
            <v>0</v>
          </cell>
          <cell r="CF9">
            <v>0</v>
          </cell>
          <cell r="CG9">
            <v>0</v>
          </cell>
          <cell r="CH9">
            <v>0</v>
          </cell>
          <cell r="CI9">
            <v>0</v>
          </cell>
          <cell r="CJ9">
            <v>0</v>
          </cell>
          <cell r="CK9">
            <v>0</v>
          </cell>
          <cell r="CL9">
            <v>0</v>
          </cell>
          <cell r="CM9">
            <v>0</v>
          </cell>
          <cell r="CN9">
            <v>0</v>
          </cell>
          <cell r="CO9">
            <v>0</v>
          </cell>
          <cell r="CP9">
            <v>0</v>
          </cell>
          <cell r="CQ9">
            <v>0</v>
          </cell>
          <cell r="CR9">
            <v>0</v>
          </cell>
          <cell r="CS9">
            <v>0</v>
          </cell>
          <cell r="CT9">
            <v>0</v>
          </cell>
          <cell r="CU9">
            <v>0</v>
          </cell>
          <cell r="CV9">
            <v>0</v>
          </cell>
          <cell r="CW9">
            <v>0</v>
          </cell>
          <cell r="CX9">
            <v>0</v>
          </cell>
          <cell r="CY9">
            <v>0</v>
          </cell>
          <cell r="CZ9">
            <v>0</v>
          </cell>
          <cell r="DA9">
            <v>0</v>
          </cell>
          <cell r="DB9">
            <v>0</v>
          </cell>
          <cell r="DC9">
            <v>0</v>
          </cell>
          <cell r="DD9">
            <v>0</v>
          </cell>
          <cell r="DE9">
            <v>0</v>
          </cell>
          <cell r="DF9">
            <v>0</v>
          </cell>
          <cell r="DG9">
            <v>0</v>
          </cell>
          <cell r="DH9">
            <v>0</v>
          </cell>
          <cell r="DI9">
            <v>7.625</v>
          </cell>
          <cell r="DJ9">
            <v>0</v>
          </cell>
          <cell r="DK9">
            <v>0</v>
          </cell>
          <cell r="DL9">
            <v>70.5</v>
          </cell>
          <cell r="DM9">
            <v>15.25</v>
          </cell>
          <cell r="DN9">
            <v>0</v>
          </cell>
          <cell r="DO9">
            <v>0</v>
          </cell>
          <cell r="DP9">
            <v>15.25</v>
          </cell>
          <cell r="DQ9">
            <v>0</v>
          </cell>
          <cell r="DR9">
            <v>0</v>
          </cell>
          <cell r="DS9">
            <v>0</v>
          </cell>
          <cell r="DT9">
            <v>0</v>
          </cell>
          <cell r="DU9">
            <v>0</v>
          </cell>
          <cell r="DV9">
            <v>0</v>
          </cell>
          <cell r="DW9">
            <v>0</v>
          </cell>
          <cell r="DX9">
            <v>0</v>
          </cell>
          <cell r="DY9">
            <v>0</v>
          </cell>
          <cell r="DZ9">
            <v>0</v>
          </cell>
          <cell r="EA9">
            <v>0</v>
          </cell>
          <cell r="EB9">
            <v>0</v>
          </cell>
          <cell r="EC9">
            <v>0</v>
          </cell>
          <cell r="ED9">
            <v>0</v>
          </cell>
          <cell r="EE9">
            <v>0</v>
          </cell>
          <cell r="EF9">
            <v>0</v>
          </cell>
          <cell r="EG9">
            <v>0</v>
          </cell>
          <cell r="EH9">
            <v>0</v>
          </cell>
          <cell r="EI9">
            <v>0</v>
          </cell>
          <cell r="EJ9">
            <v>0</v>
          </cell>
          <cell r="EK9">
            <v>0</v>
          </cell>
          <cell r="EL9">
            <v>0</v>
          </cell>
          <cell r="EM9">
            <v>0</v>
          </cell>
          <cell r="EN9">
            <v>0</v>
          </cell>
          <cell r="EO9">
            <v>0</v>
          </cell>
          <cell r="EP9">
            <v>0</v>
          </cell>
        </row>
        <row r="10">
          <cell r="A10">
            <v>3</v>
          </cell>
          <cell r="B10" t="str">
            <v>Marketing</v>
          </cell>
          <cell r="C10" t="str">
            <v>A</v>
          </cell>
          <cell r="D10" t="str">
            <v>2004 plan</v>
          </cell>
          <cell r="E10" t="str">
            <v>jwo</v>
          </cell>
          <cell r="F10" t="str">
            <v>Text Pages</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A10">
            <v>0</v>
          </cell>
          <cell r="CB10">
            <v>0</v>
          </cell>
          <cell r="CC10">
            <v>0</v>
          </cell>
          <cell r="CD10">
            <v>0</v>
          </cell>
          <cell r="CE10">
            <v>0</v>
          </cell>
          <cell r="CF10">
            <v>0</v>
          </cell>
          <cell r="CG10">
            <v>0</v>
          </cell>
          <cell r="CH10">
            <v>0</v>
          </cell>
          <cell r="CI10">
            <v>0</v>
          </cell>
          <cell r="CJ10">
            <v>0</v>
          </cell>
          <cell r="CK10">
            <v>0</v>
          </cell>
          <cell r="CL10">
            <v>0</v>
          </cell>
          <cell r="CM10">
            <v>0</v>
          </cell>
          <cell r="CN10">
            <v>0</v>
          </cell>
          <cell r="CO10">
            <v>0</v>
          </cell>
          <cell r="CP10">
            <v>0</v>
          </cell>
          <cell r="CQ10">
            <v>0</v>
          </cell>
          <cell r="CR10">
            <v>0</v>
          </cell>
          <cell r="CS10">
            <v>0</v>
          </cell>
          <cell r="CT10">
            <v>0</v>
          </cell>
          <cell r="CU10">
            <v>0</v>
          </cell>
          <cell r="CV10">
            <v>0</v>
          </cell>
          <cell r="CW10">
            <v>0</v>
          </cell>
          <cell r="CX10">
            <v>0</v>
          </cell>
          <cell r="CY10">
            <v>0</v>
          </cell>
          <cell r="CZ10">
            <v>0</v>
          </cell>
          <cell r="DA10">
            <v>50</v>
          </cell>
          <cell r="DB10">
            <v>0</v>
          </cell>
          <cell r="DC10">
            <v>0</v>
          </cell>
          <cell r="DD10">
            <v>0</v>
          </cell>
          <cell r="DE10">
            <v>0</v>
          </cell>
          <cell r="DF10">
            <v>0</v>
          </cell>
          <cell r="DG10">
            <v>0</v>
          </cell>
          <cell r="DH10">
            <v>0</v>
          </cell>
          <cell r="DI10">
            <v>0</v>
          </cell>
          <cell r="DJ10">
            <v>0</v>
          </cell>
          <cell r="DK10">
            <v>0</v>
          </cell>
          <cell r="DL10">
            <v>20</v>
          </cell>
          <cell r="DM10">
            <v>0</v>
          </cell>
          <cell r="DN10">
            <v>0</v>
          </cell>
          <cell r="DO10">
            <v>0</v>
          </cell>
          <cell r="DP10">
            <v>0</v>
          </cell>
          <cell r="DQ10">
            <v>0</v>
          </cell>
          <cell r="DR10">
            <v>0</v>
          </cell>
          <cell r="DS10">
            <v>0</v>
          </cell>
          <cell r="DT10">
            <v>0</v>
          </cell>
          <cell r="DU10">
            <v>0</v>
          </cell>
          <cell r="DV10">
            <v>0</v>
          </cell>
          <cell r="DW10">
            <v>0.99999999999999833</v>
          </cell>
          <cell r="DX10">
            <v>0</v>
          </cell>
          <cell r="DY10">
            <v>0</v>
          </cell>
          <cell r="DZ10">
            <v>0</v>
          </cell>
          <cell r="EA10">
            <v>0</v>
          </cell>
          <cell r="EB10">
            <v>0</v>
          </cell>
          <cell r="EC10">
            <v>0</v>
          </cell>
          <cell r="ED10">
            <v>0</v>
          </cell>
          <cell r="EE10">
            <v>0</v>
          </cell>
          <cell r="EF10">
            <v>0</v>
          </cell>
          <cell r="EG10">
            <v>0</v>
          </cell>
          <cell r="EH10">
            <v>15.893333333333334</v>
          </cell>
          <cell r="EI10">
            <v>0</v>
          </cell>
          <cell r="EJ10">
            <v>0</v>
          </cell>
          <cell r="EK10">
            <v>0</v>
          </cell>
          <cell r="EL10">
            <v>0</v>
          </cell>
          <cell r="EM10">
            <v>0</v>
          </cell>
          <cell r="EN10">
            <v>0</v>
          </cell>
          <cell r="EO10">
            <v>0</v>
          </cell>
          <cell r="EP10">
            <v>0</v>
          </cell>
        </row>
        <row r="11">
          <cell r="A11">
            <v>4</v>
          </cell>
          <cell r="B11" t="str">
            <v>Develop Marketing Materials</v>
          </cell>
          <cell r="C11" t="str">
            <v>A</v>
          </cell>
          <cell r="D11" t="str">
            <v>2004 plan</v>
          </cell>
          <cell r="E11" t="str">
            <v>dsw</v>
          </cell>
          <cell r="F11" t="str">
            <v>Text Pages</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row>
        <row r="12">
          <cell r="A12">
            <v>5</v>
          </cell>
          <cell r="B12" t="str">
            <v>Mature TSP</v>
          </cell>
          <cell r="C12" t="str">
            <v>A</v>
          </cell>
          <cell r="D12" t="str">
            <v>2004 plan</v>
          </cell>
          <cell r="F12" t="str">
            <v>Text Pages</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2</v>
          </cell>
          <cell r="DE12">
            <v>0</v>
          </cell>
          <cell r="DF12">
            <v>0</v>
          </cell>
          <cell r="DG12">
            <v>0</v>
          </cell>
          <cell r="DH12">
            <v>0</v>
          </cell>
          <cell r="DI12">
            <v>0</v>
          </cell>
          <cell r="DJ12">
            <v>0</v>
          </cell>
          <cell r="DK12">
            <v>6</v>
          </cell>
          <cell r="DL12">
            <v>0</v>
          </cell>
          <cell r="DM12">
            <v>0</v>
          </cell>
          <cell r="DN12">
            <v>0</v>
          </cell>
          <cell r="DO12">
            <v>47</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row>
        <row r="13">
          <cell r="A13">
            <v>6</v>
          </cell>
          <cell r="B13" t="str">
            <v>TSP V4.0</v>
          </cell>
          <cell r="C13" t="str">
            <v>A</v>
          </cell>
          <cell r="D13" t="str">
            <v>Mature TSP</v>
          </cell>
          <cell r="F13" t="str">
            <v>Text Pages</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row>
        <row r="14">
          <cell r="A14">
            <v>7</v>
          </cell>
          <cell r="B14" t="str">
            <v>TSP V4.0 - General</v>
          </cell>
          <cell r="C14" t="str">
            <v>A</v>
          </cell>
          <cell r="D14" t="str">
            <v>TSP V4.0</v>
          </cell>
          <cell r="E14" t="str">
            <v>aww</v>
          </cell>
          <cell r="F14" t="str">
            <v>Text Pages</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row>
        <row r="15">
          <cell r="A15">
            <v>8</v>
          </cell>
          <cell r="B15" t="str">
            <v>TSP V4.0 Launch notebook</v>
          </cell>
          <cell r="C15" t="str">
            <v>A</v>
          </cell>
          <cell r="D15" t="str">
            <v>TSP V4.0</v>
          </cell>
          <cell r="E15" t="str">
            <v>aww</v>
          </cell>
          <cell r="F15" t="str">
            <v>Text Pages</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row>
        <row r="16">
          <cell r="A16">
            <v>9</v>
          </cell>
          <cell r="B16" t="str">
            <v>TSP Field Trials</v>
          </cell>
          <cell r="C16" t="str">
            <v>A</v>
          </cell>
          <cell r="D16" t="str">
            <v>Mature TSP</v>
          </cell>
          <cell r="F16" t="str">
            <v>Text Pages</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row>
        <row r="17">
          <cell r="A17">
            <v>10</v>
          </cell>
          <cell r="B17" t="str">
            <v>NAVOCEANO</v>
          </cell>
          <cell r="C17" t="str">
            <v>A</v>
          </cell>
          <cell r="D17" t="str">
            <v>TSP Field Trials</v>
          </cell>
          <cell r="E17" t="str">
            <v>jdm</v>
          </cell>
          <cell r="F17" t="str">
            <v>Text Pages</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row>
        <row r="18">
          <cell r="A18">
            <v>11</v>
          </cell>
          <cell r="B18" t="str">
            <v>AMCOM</v>
          </cell>
          <cell r="C18" t="str">
            <v>A</v>
          </cell>
          <cell r="D18" t="str">
            <v>TSP Field Trials</v>
          </cell>
          <cell r="E18" t="str">
            <v>jdm</v>
          </cell>
          <cell r="F18" t="str">
            <v>Text Pages</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row>
        <row r="19">
          <cell r="A19">
            <v>12</v>
          </cell>
          <cell r="B19" t="str">
            <v>Bechtel</v>
          </cell>
          <cell r="C19" t="str">
            <v>A</v>
          </cell>
          <cell r="D19" t="str">
            <v>TSP Field Trials</v>
          </cell>
          <cell r="E19" t="str">
            <v>aww</v>
          </cell>
          <cell r="F19" t="str">
            <v>Text Pages</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row>
        <row r="20">
          <cell r="A20">
            <v>13</v>
          </cell>
          <cell r="B20" t="str">
            <v>Intuit</v>
          </cell>
          <cell r="C20" t="str">
            <v>A</v>
          </cell>
          <cell r="D20" t="str">
            <v>TSP Field Trials</v>
          </cell>
          <cell r="E20" t="str">
            <v>aww</v>
          </cell>
          <cell r="F20" t="str">
            <v>Text Pages</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row>
        <row r="21">
          <cell r="A21">
            <v>14</v>
          </cell>
          <cell r="B21" t="str">
            <v>Census Bureau</v>
          </cell>
          <cell r="C21" t="str">
            <v>A</v>
          </cell>
          <cell r="D21" t="str">
            <v>TSP Field Trials</v>
          </cell>
          <cell r="E21" t="str">
            <v>db</v>
          </cell>
          <cell r="F21" t="str">
            <v>Text Pages</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row>
        <row r="22">
          <cell r="A22">
            <v>15</v>
          </cell>
          <cell r="B22" t="str">
            <v>NASA-Langley</v>
          </cell>
          <cell r="C22" t="str">
            <v>A</v>
          </cell>
          <cell r="D22" t="str">
            <v>TSP Field Trials</v>
          </cell>
          <cell r="E22" t="str">
            <v>aww</v>
          </cell>
          <cell r="F22" t="str">
            <v>Text Pages</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row>
        <row r="23">
          <cell r="A23">
            <v>16</v>
          </cell>
          <cell r="B23" t="str">
            <v>Helsana</v>
          </cell>
          <cell r="C23" t="str">
            <v>A</v>
          </cell>
          <cell r="D23" t="str">
            <v>TSP Field Trials</v>
          </cell>
          <cell r="E23" t="str">
            <v>jdm</v>
          </cell>
          <cell r="F23" t="str">
            <v>Text Pages</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row>
        <row r="24">
          <cell r="A24">
            <v>17</v>
          </cell>
          <cell r="B24" t="str">
            <v>Vicarious Visions</v>
          </cell>
          <cell r="C24" t="str">
            <v>A</v>
          </cell>
          <cell r="D24" t="str">
            <v>TSP Field Trials</v>
          </cell>
          <cell r="E24" t="str">
            <v>dsw</v>
          </cell>
          <cell r="F24" t="str">
            <v>Text Pages</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row>
        <row r="25">
          <cell r="A25">
            <v>18</v>
          </cell>
          <cell r="B25" t="str">
            <v>TSP-M V1.0</v>
          </cell>
          <cell r="C25" t="str">
            <v>A</v>
          </cell>
          <cell r="D25" t="str">
            <v>Mature TSP</v>
          </cell>
          <cell r="E25" t="str">
            <v>wsh</v>
          </cell>
          <cell r="F25" t="str">
            <v>Text Pages</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row>
        <row r="26">
          <cell r="A26">
            <v>19</v>
          </cell>
          <cell r="B26" t="str">
            <v>TSP-D V1.0</v>
          </cell>
          <cell r="C26" t="str">
            <v>A</v>
          </cell>
          <cell r="D26" t="str">
            <v>Mature TSP</v>
          </cell>
          <cell r="E26" t="str">
            <v>wsh</v>
          </cell>
          <cell r="F26" t="str">
            <v>Text Pages</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row>
        <row r="27">
          <cell r="A27">
            <v>20</v>
          </cell>
          <cell r="B27" t="str">
            <v>TSP-F V1.0</v>
          </cell>
          <cell r="C27" t="str">
            <v>A</v>
          </cell>
          <cell r="D27" t="str">
            <v>Mature TSP</v>
          </cell>
          <cell r="E27" t="str">
            <v>wsh</v>
          </cell>
          <cell r="F27" t="str">
            <v>Text Pages</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row>
        <row r="28">
          <cell r="A28">
            <v>21</v>
          </cell>
          <cell r="B28" t="str">
            <v>TSP-Secure</v>
          </cell>
          <cell r="C28" t="str">
            <v>A</v>
          </cell>
          <cell r="D28" t="str">
            <v>Mature TSP</v>
          </cell>
          <cell r="E28" t="str">
            <v>nd</v>
          </cell>
          <cell r="F28" t="str">
            <v>Text Pages</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cell r="CI28">
            <v>0</v>
          </cell>
          <cell r="CJ28">
            <v>0</v>
          </cell>
          <cell r="CK28">
            <v>0</v>
          </cell>
          <cell r="CL28">
            <v>0</v>
          </cell>
          <cell r="CM28">
            <v>0</v>
          </cell>
          <cell r="CN28">
            <v>0</v>
          </cell>
          <cell r="CO28">
            <v>0</v>
          </cell>
          <cell r="CP28">
            <v>0</v>
          </cell>
          <cell r="CQ28">
            <v>0</v>
          </cell>
          <cell r="CR28">
            <v>0</v>
          </cell>
          <cell r="CS28">
            <v>0</v>
          </cell>
          <cell r="CT28">
            <v>0</v>
          </cell>
          <cell r="CU28">
            <v>0</v>
          </cell>
          <cell r="CV28">
            <v>0</v>
          </cell>
          <cell r="CW28">
            <v>0</v>
          </cell>
          <cell r="CX28">
            <v>0</v>
          </cell>
          <cell r="CY28">
            <v>0</v>
          </cell>
          <cell r="CZ28">
            <v>0</v>
          </cell>
          <cell r="DA28">
            <v>0</v>
          </cell>
          <cell r="DB28">
            <v>0</v>
          </cell>
          <cell r="DC28">
            <v>0</v>
          </cell>
          <cell r="DD28">
            <v>0</v>
          </cell>
          <cell r="DE28">
            <v>0</v>
          </cell>
          <cell r="DF28">
            <v>0</v>
          </cell>
          <cell r="DG28">
            <v>0</v>
          </cell>
          <cell r="DH28">
            <v>0</v>
          </cell>
          <cell r="DI28">
            <v>0</v>
          </cell>
          <cell r="DJ28">
            <v>0</v>
          </cell>
          <cell r="DK28">
            <v>0</v>
          </cell>
          <cell r="DL28">
            <v>0</v>
          </cell>
          <cell r="DM28">
            <v>0</v>
          </cell>
          <cell r="DN28">
            <v>0</v>
          </cell>
          <cell r="DO28">
            <v>12</v>
          </cell>
          <cell r="DP28">
            <v>0</v>
          </cell>
          <cell r="DQ28">
            <v>0</v>
          </cell>
          <cell r="DR28">
            <v>0</v>
          </cell>
          <cell r="DS28">
            <v>0</v>
          </cell>
          <cell r="DT28">
            <v>0</v>
          </cell>
          <cell r="DU28">
            <v>0</v>
          </cell>
          <cell r="DV28">
            <v>0</v>
          </cell>
          <cell r="DW28">
            <v>0</v>
          </cell>
          <cell r="DX28">
            <v>0</v>
          </cell>
          <cell r="DY28">
            <v>0</v>
          </cell>
          <cell r="DZ28">
            <v>0</v>
          </cell>
          <cell r="EA28">
            <v>0</v>
          </cell>
          <cell r="EB28">
            <v>0</v>
          </cell>
          <cell r="EC28">
            <v>0</v>
          </cell>
          <cell r="ED28">
            <v>0</v>
          </cell>
          <cell r="EE28">
            <v>0</v>
          </cell>
          <cell r="EF28">
            <v>0</v>
          </cell>
          <cell r="EG28">
            <v>0</v>
          </cell>
          <cell r="EH28">
            <v>0</v>
          </cell>
          <cell r="EI28">
            <v>0</v>
          </cell>
          <cell r="EJ28">
            <v>0</v>
          </cell>
          <cell r="EK28">
            <v>0</v>
          </cell>
          <cell r="EL28">
            <v>0</v>
          </cell>
          <cell r="EM28">
            <v>0</v>
          </cell>
          <cell r="EN28">
            <v>0</v>
          </cell>
          <cell r="EO28">
            <v>0</v>
          </cell>
          <cell r="EP28">
            <v>0</v>
          </cell>
        </row>
        <row r="29">
          <cell r="A29">
            <v>22</v>
          </cell>
          <cell r="B29" t="str">
            <v>Secure-DHS</v>
          </cell>
          <cell r="C29" t="str">
            <v>A</v>
          </cell>
          <cell r="D29" t="str">
            <v>TSP-Secure</v>
          </cell>
          <cell r="E29" t="str">
            <v>nd</v>
          </cell>
          <cell r="F29" t="str">
            <v>Text Pages</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cell r="CI29">
            <v>0</v>
          </cell>
          <cell r="CJ29">
            <v>0</v>
          </cell>
          <cell r="CK29">
            <v>0</v>
          </cell>
          <cell r="CL29">
            <v>0</v>
          </cell>
          <cell r="CM29">
            <v>0</v>
          </cell>
          <cell r="CN29">
            <v>0</v>
          </cell>
          <cell r="CO29">
            <v>0</v>
          </cell>
          <cell r="CP29">
            <v>0</v>
          </cell>
          <cell r="CQ29">
            <v>0</v>
          </cell>
          <cell r="CR29">
            <v>0</v>
          </cell>
          <cell r="CS29">
            <v>0</v>
          </cell>
          <cell r="CT29">
            <v>0</v>
          </cell>
          <cell r="CU29">
            <v>0</v>
          </cell>
          <cell r="CV29">
            <v>0</v>
          </cell>
          <cell r="CW29">
            <v>0</v>
          </cell>
          <cell r="CX29">
            <v>0</v>
          </cell>
          <cell r="CY29">
            <v>0</v>
          </cell>
          <cell r="CZ29">
            <v>0</v>
          </cell>
          <cell r="DA29">
            <v>0</v>
          </cell>
          <cell r="DB29">
            <v>0</v>
          </cell>
          <cell r="DC29">
            <v>0</v>
          </cell>
          <cell r="DD29">
            <v>0</v>
          </cell>
          <cell r="DE29">
            <v>0</v>
          </cell>
          <cell r="DF29">
            <v>0</v>
          </cell>
          <cell r="DG29">
            <v>0</v>
          </cell>
          <cell r="DH29">
            <v>0</v>
          </cell>
          <cell r="DI29">
            <v>0</v>
          </cell>
          <cell r="DJ29">
            <v>0</v>
          </cell>
          <cell r="DK29">
            <v>0</v>
          </cell>
          <cell r="DL29">
            <v>0</v>
          </cell>
          <cell r="DM29">
            <v>0</v>
          </cell>
          <cell r="DN29">
            <v>0</v>
          </cell>
          <cell r="DO29">
            <v>0</v>
          </cell>
          <cell r="DP29">
            <v>0</v>
          </cell>
          <cell r="DQ29">
            <v>0</v>
          </cell>
          <cell r="DR29">
            <v>0</v>
          </cell>
          <cell r="DS29">
            <v>0</v>
          </cell>
          <cell r="DT29">
            <v>0</v>
          </cell>
          <cell r="DU29">
            <v>0</v>
          </cell>
          <cell r="DV29">
            <v>0</v>
          </cell>
          <cell r="DW29">
            <v>0</v>
          </cell>
          <cell r="DX29">
            <v>0</v>
          </cell>
          <cell r="DY29">
            <v>0</v>
          </cell>
          <cell r="DZ29">
            <v>0</v>
          </cell>
          <cell r="EA29">
            <v>0</v>
          </cell>
          <cell r="EB29">
            <v>0</v>
          </cell>
          <cell r="EC29">
            <v>0</v>
          </cell>
          <cell r="ED29">
            <v>0</v>
          </cell>
          <cell r="EE29">
            <v>0</v>
          </cell>
          <cell r="EF29">
            <v>0</v>
          </cell>
          <cell r="EG29">
            <v>0</v>
          </cell>
          <cell r="EH29">
            <v>0</v>
          </cell>
          <cell r="EI29">
            <v>0</v>
          </cell>
          <cell r="EJ29">
            <v>0</v>
          </cell>
          <cell r="EK29">
            <v>0</v>
          </cell>
          <cell r="EL29">
            <v>0</v>
          </cell>
          <cell r="EM29">
            <v>0</v>
          </cell>
          <cell r="EN29">
            <v>0</v>
          </cell>
          <cell r="EO29">
            <v>0</v>
          </cell>
          <cell r="EP29">
            <v>0</v>
          </cell>
        </row>
        <row r="30">
          <cell r="A30">
            <v>23</v>
          </cell>
          <cell r="B30" t="str">
            <v>Secure-General</v>
          </cell>
          <cell r="C30" t="str">
            <v>A</v>
          </cell>
          <cell r="D30" t="str">
            <v>TSP-Secure</v>
          </cell>
          <cell r="E30" t="str">
            <v>nd</v>
          </cell>
          <cell r="F30" t="str">
            <v>Text Pages</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12</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row>
        <row r="31">
          <cell r="A31">
            <v>24</v>
          </cell>
          <cell r="B31" t="str">
            <v>TSP-CMMI Integration</v>
          </cell>
          <cell r="C31" t="str">
            <v>A</v>
          </cell>
          <cell r="D31" t="str">
            <v>Mature TSP</v>
          </cell>
          <cell r="E31" t="str">
            <v>jdm</v>
          </cell>
          <cell r="F31" t="str">
            <v>Text Pages</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33</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row>
        <row r="32">
          <cell r="A32">
            <v>25</v>
          </cell>
          <cell r="B32" t="str">
            <v>TSP-CMMI Gap Analysis</v>
          </cell>
          <cell r="C32" t="str">
            <v>A</v>
          </cell>
          <cell r="D32" t="str">
            <v>TSP-CMMI Integration</v>
          </cell>
          <cell r="E32" t="str">
            <v>jdm</v>
          </cell>
          <cell r="F32" t="str">
            <v>Text Pages</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33</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row>
        <row r="33">
          <cell r="A33">
            <v>26</v>
          </cell>
          <cell r="B33" t="str">
            <v>TSP-CMMI - General</v>
          </cell>
          <cell r="C33" t="str">
            <v>A</v>
          </cell>
          <cell r="D33" t="str">
            <v>TSP-CMMI Integration</v>
          </cell>
          <cell r="E33" t="str">
            <v>jdm</v>
          </cell>
          <cell r="F33" t="str">
            <v>Text Pages</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row>
        <row r="34">
          <cell r="A34">
            <v>27</v>
          </cell>
          <cell r="B34" t="str">
            <v>TSP Tailoring Guidelines</v>
          </cell>
          <cell r="C34" t="str">
            <v>A</v>
          </cell>
          <cell r="D34" t="str">
            <v>Mature TSP</v>
          </cell>
          <cell r="F34" t="str">
            <v>Text Pages</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row>
        <row r="35">
          <cell r="A35">
            <v>28</v>
          </cell>
          <cell r="B35" t="str">
            <v>Product development</v>
          </cell>
          <cell r="C35" t="str">
            <v>A</v>
          </cell>
          <cell r="D35" t="str">
            <v>2004 plan</v>
          </cell>
          <cell r="F35" t="str">
            <v>Text Pages</v>
          </cell>
          <cell r="G35">
            <v>0</v>
          </cell>
          <cell r="H35">
            <v>0</v>
          </cell>
          <cell r="I35">
            <v>0</v>
          </cell>
          <cell r="J35">
            <v>100</v>
          </cell>
          <cell r="K35">
            <v>0</v>
          </cell>
          <cell r="L35">
            <v>100</v>
          </cell>
          <cell r="M35">
            <v>100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7</v>
          </cell>
          <cell r="AR35">
            <v>0</v>
          </cell>
          <cell r="AS35">
            <v>0</v>
          </cell>
          <cell r="AT35">
            <v>0</v>
          </cell>
          <cell r="AU35">
            <v>0</v>
          </cell>
          <cell r="AV35">
            <v>0</v>
          </cell>
          <cell r="AW35">
            <v>0</v>
          </cell>
          <cell r="AX35">
            <v>0</v>
          </cell>
          <cell r="AY35">
            <v>0</v>
          </cell>
          <cell r="AZ35">
            <v>0</v>
          </cell>
          <cell r="BA35">
            <v>0</v>
          </cell>
          <cell r="BB35">
            <v>18</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4</v>
          </cell>
          <cell r="CM35">
            <v>0</v>
          </cell>
          <cell r="CN35">
            <v>0</v>
          </cell>
          <cell r="CO35">
            <v>0</v>
          </cell>
          <cell r="CP35">
            <v>1</v>
          </cell>
          <cell r="CQ35">
            <v>17</v>
          </cell>
          <cell r="CR35">
            <v>0</v>
          </cell>
          <cell r="CS35">
            <v>0</v>
          </cell>
          <cell r="CT35">
            <v>3</v>
          </cell>
          <cell r="CU35">
            <v>0</v>
          </cell>
          <cell r="CV35">
            <v>0</v>
          </cell>
          <cell r="CW35">
            <v>0</v>
          </cell>
          <cell r="CX35">
            <v>0</v>
          </cell>
          <cell r="CY35">
            <v>0</v>
          </cell>
          <cell r="CZ35">
            <v>0</v>
          </cell>
          <cell r="DA35">
            <v>3</v>
          </cell>
          <cell r="DB35">
            <v>0</v>
          </cell>
          <cell r="DC35">
            <v>0</v>
          </cell>
          <cell r="DD35">
            <v>0</v>
          </cell>
          <cell r="DE35">
            <v>0</v>
          </cell>
          <cell r="DF35">
            <v>0</v>
          </cell>
          <cell r="DG35">
            <v>0</v>
          </cell>
          <cell r="DH35">
            <v>2</v>
          </cell>
          <cell r="DI35">
            <v>1</v>
          </cell>
          <cell r="DJ35">
            <v>0</v>
          </cell>
          <cell r="DK35">
            <v>0</v>
          </cell>
          <cell r="DL35">
            <v>28</v>
          </cell>
          <cell r="DM35">
            <v>10.5</v>
          </cell>
          <cell r="DN35">
            <v>0</v>
          </cell>
          <cell r="DO35">
            <v>39</v>
          </cell>
          <cell r="DP35">
            <v>36.5</v>
          </cell>
          <cell r="DQ35">
            <v>1</v>
          </cell>
          <cell r="DR35">
            <v>100</v>
          </cell>
          <cell r="DS35">
            <v>0</v>
          </cell>
          <cell r="DT35">
            <v>3</v>
          </cell>
          <cell r="DU35">
            <v>0</v>
          </cell>
          <cell r="DV35">
            <v>0</v>
          </cell>
          <cell r="DW35">
            <v>1</v>
          </cell>
          <cell r="DX35">
            <v>0</v>
          </cell>
          <cell r="DY35">
            <v>0</v>
          </cell>
          <cell r="DZ35">
            <v>0</v>
          </cell>
          <cell r="EA35">
            <v>0</v>
          </cell>
          <cell r="EB35">
            <v>0</v>
          </cell>
          <cell r="EC35">
            <v>0</v>
          </cell>
          <cell r="ED35">
            <v>2.6947222222222211</v>
          </cell>
          <cell r="EE35">
            <v>0</v>
          </cell>
          <cell r="EF35">
            <v>0</v>
          </cell>
          <cell r="EG35">
            <v>0</v>
          </cell>
          <cell r="EH35">
            <v>7.7249999999999996</v>
          </cell>
          <cell r="EI35">
            <v>2.9222222222222225</v>
          </cell>
          <cell r="EJ35">
            <v>0</v>
          </cell>
          <cell r="EK35">
            <v>21.03305555555556</v>
          </cell>
          <cell r="EL35">
            <v>0.75777777777777855</v>
          </cell>
          <cell r="EM35">
            <v>0</v>
          </cell>
          <cell r="EN35">
            <v>0</v>
          </cell>
          <cell r="EO35">
            <v>0</v>
          </cell>
          <cell r="EP35">
            <v>0</v>
          </cell>
        </row>
        <row r="36">
          <cell r="A36">
            <v>29</v>
          </cell>
          <cell r="B36" t="str">
            <v>Product development</v>
          </cell>
          <cell r="C36" t="str">
            <v>A</v>
          </cell>
          <cell r="D36" t="str">
            <v>2004 plan</v>
          </cell>
          <cell r="F36" t="str">
            <v>LOC</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7.625</v>
          </cell>
          <cell r="DJ36">
            <v>0</v>
          </cell>
          <cell r="DK36">
            <v>0</v>
          </cell>
          <cell r="DL36">
            <v>70.5</v>
          </cell>
          <cell r="DM36">
            <v>15.25</v>
          </cell>
          <cell r="DN36">
            <v>0</v>
          </cell>
          <cell r="DO36">
            <v>0</v>
          </cell>
          <cell r="DP36">
            <v>15.25</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row>
        <row r="37">
          <cell r="A37">
            <v>30</v>
          </cell>
          <cell r="B37" t="str">
            <v>TSP Training/Guidebooks</v>
          </cell>
          <cell r="C37" t="str">
            <v>A</v>
          </cell>
          <cell r="D37" t="str">
            <v>Product development</v>
          </cell>
          <cell r="F37" t="str">
            <v>Text Pages</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15</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21.03305555555556</v>
          </cell>
          <cell r="EL37">
            <v>0</v>
          </cell>
          <cell r="EM37">
            <v>0</v>
          </cell>
          <cell r="EN37">
            <v>0</v>
          </cell>
          <cell r="EO37">
            <v>0</v>
          </cell>
          <cell r="EP37">
            <v>0</v>
          </cell>
        </row>
        <row r="38">
          <cell r="A38">
            <v>31</v>
          </cell>
          <cell r="B38" t="str">
            <v>TSP Team Leader Guidebook</v>
          </cell>
          <cell r="C38" t="str">
            <v>A</v>
          </cell>
          <cell r="D38" t="str">
            <v>TSP Training/Guidebooks</v>
          </cell>
          <cell r="E38" t="str">
            <v>wsh</v>
          </cell>
          <cell r="F38" t="str">
            <v>Text Pages</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row>
        <row r="39">
          <cell r="A39">
            <v>32</v>
          </cell>
          <cell r="B39" t="str">
            <v>TSP Team Leader Training</v>
          </cell>
          <cell r="C39" t="str">
            <v>A</v>
          </cell>
          <cell r="D39" t="str">
            <v>TSP Training/Guidebooks</v>
          </cell>
          <cell r="F39" t="str">
            <v>Text Pages</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row>
        <row r="40">
          <cell r="A40">
            <v>33</v>
          </cell>
          <cell r="B40" t="str">
            <v>TSP TL Class</v>
          </cell>
          <cell r="C40" t="str">
            <v>A</v>
          </cell>
          <cell r="D40" t="str">
            <v>TSP Team Leader Training</v>
          </cell>
          <cell r="F40" t="str">
            <v>Text Pages</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row>
        <row r="41">
          <cell r="A41">
            <v>34</v>
          </cell>
          <cell r="B41" t="str">
            <v>TSP TL Class General</v>
          </cell>
          <cell r="C41" t="str">
            <v>A</v>
          </cell>
          <cell r="D41" t="str">
            <v>TSP TL Class</v>
          </cell>
          <cell r="E41" t="str">
            <v>db</v>
          </cell>
          <cell r="F41" t="str">
            <v>Text Pages</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cell r="CI41">
            <v>0</v>
          </cell>
          <cell r="CJ41">
            <v>0</v>
          </cell>
          <cell r="CK41">
            <v>0</v>
          </cell>
          <cell r="CL41">
            <v>0</v>
          </cell>
          <cell r="CM41">
            <v>0</v>
          </cell>
          <cell r="CN41">
            <v>0</v>
          </cell>
          <cell r="CO41">
            <v>0</v>
          </cell>
          <cell r="CP41">
            <v>0</v>
          </cell>
          <cell r="CQ41">
            <v>0</v>
          </cell>
          <cell r="CR41">
            <v>0</v>
          </cell>
          <cell r="CS41">
            <v>0</v>
          </cell>
          <cell r="CT41">
            <v>0</v>
          </cell>
          <cell r="CU41">
            <v>0</v>
          </cell>
          <cell r="CV41">
            <v>0</v>
          </cell>
          <cell r="CW41">
            <v>0</v>
          </cell>
          <cell r="CX41">
            <v>0</v>
          </cell>
          <cell r="CY41">
            <v>0</v>
          </cell>
          <cell r="CZ41">
            <v>0</v>
          </cell>
          <cell r="DA41">
            <v>0</v>
          </cell>
          <cell r="DB41">
            <v>0</v>
          </cell>
          <cell r="DC41">
            <v>0</v>
          </cell>
          <cell r="DD41">
            <v>0</v>
          </cell>
          <cell r="DE41">
            <v>0</v>
          </cell>
          <cell r="DF41">
            <v>0</v>
          </cell>
          <cell r="DG41">
            <v>0</v>
          </cell>
          <cell r="DH41">
            <v>0</v>
          </cell>
          <cell r="DI41">
            <v>0</v>
          </cell>
          <cell r="DJ41">
            <v>0</v>
          </cell>
          <cell r="DK41">
            <v>0</v>
          </cell>
          <cell r="DL41">
            <v>0</v>
          </cell>
          <cell r="DM41">
            <v>0</v>
          </cell>
          <cell r="DN41">
            <v>0</v>
          </cell>
          <cell r="DO41">
            <v>0</v>
          </cell>
          <cell r="DP41">
            <v>0</v>
          </cell>
          <cell r="DQ41">
            <v>0</v>
          </cell>
          <cell r="DR41">
            <v>0</v>
          </cell>
          <cell r="DS41">
            <v>0</v>
          </cell>
          <cell r="DT41">
            <v>0</v>
          </cell>
          <cell r="DU41">
            <v>0</v>
          </cell>
          <cell r="DV41">
            <v>0</v>
          </cell>
          <cell r="DW41">
            <v>0</v>
          </cell>
          <cell r="DX41">
            <v>0</v>
          </cell>
          <cell r="DY41">
            <v>0</v>
          </cell>
          <cell r="DZ41">
            <v>0</v>
          </cell>
          <cell r="EA41">
            <v>0</v>
          </cell>
          <cell r="EB41">
            <v>0</v>
          </cell>
          <cell r="EC41">
            <v>0</v>
          </cell>
          <cell r="ED41">
            <v>0</v>
          </cell>
          <cell r="EE41">
            <v>0</v>
          </cell>
          <cell r="EF41">
            <v>0</v>
          </cell>
          <cell r="EG41">
            <v>0</v>
          </cell>
          <cell r="EH41">
            <v>0</v>
          </cell>
          <cell r="EI41">
            <v>0</v>
          </cell>
          <cell r="EJ41">
            <v>0</v>
          </cell>
          <cell r="EK41">
            <v>0</v>
          </cell>
          <cell r="EL41">
            <v>0</v>
          </cell>
          <cell r="EM41">
            <v>0</v>
          </cell>
          <cell r="EN41">
            <v>0</v>
          </cell>
          <cell r="EO41">
            <v>0</v>
          </cell>
          <cell r="EP41">
            <v>0</v>
          </cell>
        </row>
        <row r="42">
          <cell r="A42">
            <v>35</v>
          </cell>
          <cell r="B42" t="str">
            <v>TSP TL Class Part 1</v>
          </cell>
          <cell r="C42" t="str">
            <v>A</v>
          </cell>
          <cell r="D42" t="str">
            <v>TSP TL Class</v>
          </cell>
          <cell r="E42" t="str">
            <v>db</v>
          </cell>
          <cell r="F42" t="str">
            <v>Text Pages</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W42">
            <v>0</v>
          </cell>
          <cell r="BX42">
            <v>0</v>
          </cell>
          <cell r="BY42">
            <v>0</v>
          </cell>
          <cell r="BZ42">
            <v>0</v>
          </cell>
          <cell r="CA42">
            <v>0</v>
          </cell>
          <cell r="CB42">
            <v>0</v>
          </cell>
          <cell r="CC42">
            <v>0</v>
          </cell>
          <cell r="CD42">
            <v>0</v>
          </cell>
          <cell r="CE42">
            <v>0</v>
          </cell>
          <cell r="CF42">
            <v>0</v>
          </cell>
          <cell r="CG42">
            <v>0</v>
          </cell>
          <cell r="CH42">
            <v>0</v>
          </cell>
          <cell r="CI42">
            <v>0</v>
          </cell>
          <cell r="CJ42">
            <v>0</v>
          </cell>
          <cell r="CK42">
            <v>0</v>
          </cell>
          <cell r="CL42">
            <v>0</v>
          </cell>
          <cell r="CM42">
            <v>0</v>
          </cell>
          <cell r="CN42">
            <v>0</v>
          </cell>
          <cell r="CO42">
            <v>0</v>
          </cell>
          <cell r="CP42">
            <v>0</v>
          </cell>
          <cell r="CQ42">
            <v>0</v>
          </cell>
          <cell r="CR42">
            <v>0</v>
          </cell>
          <cell r="CS42">
            <v>0</v>
          </cell>
          <cell r="CT42">
            <v>0</v>
          </cell>
          <cell r="CU42">
            <v>0</v>
          </cell>
          <cell r="CV42">
            <v>0</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row>
        <row r="43">
          <cell r="A43">
            <v>36</v>
          </cell>
          <cell r="B43" t="str">
            <v>TSP TL Class Part 2</v>
          </cell>
          <cell r="C43" t="str">
            <v>A</v>
          </cell>
          <cell r="D43" t="str">
            <v>TSP TL Class</v>
          </cell>
          <cell r="E43" t="str">
            <v>db</v>
          </cell>
          <cell r="F43" t="str">
            <v>Text Pages</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row>
        <row r="44">
          <cell r="A44">
            <v>37</v>
          </cell>
          <cell r="B44" t="str">
            <v>TSP TL Class Part 2 General</v>
          </cell>
          <cell r="C44" t="str">
            <v>A</v>
          </cell>
          <cell r="D44" t="str">
            <v>TSP TL Class</v>
          </cell>
          <cell r="E44" t="str">
            <v>db</v>
          </cell>
          <cell r="F44" t="str">
            <v>Text Pages</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row>
        <row r="45">
          <cell r="A45">
            <v>38</v>
          </cell>
          <cell r="B45" t="str">
            <v>TSP TL Class Part 2 Lectures</v>
          </cell>
          <cell r="C45" t="str">
            <v>A</v>
          </cell>
          <cell r="D45" t="str">
            <v>TSP TL Class</v>
          </cell>
          <cell r="E45" t="str">
            <v>db</v>
          </cell>
          <cell r="F45" t="str">
            <v>Text Pages</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row>
        <row r="46">
          <cell r="A46">
            <v>39</v>
          </cell>
          <cell r="B46" t="str">
            <v>TSP TL Class Part 2 Exercises</v>
          </cell>
          <cell r="C46" t="str">
            <v>A</v>
          </cell>
          <cell r="D46" t="str">
            <v>TSP TL Class</v>
          </cell>
          <cell r="E46" t="str">
            <v>db</v>
          </cell>
          <cell r="F46" t="str">
            <v>Text Pages</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row>
        <row r="47">
          <cell r="A47">
            <v>40</v>
          </cell>
          <cell r="B47" t="str">
            <v>TSP TL Class Collateral</v>
          </cell>
          <cell r="C47" t="str">
            <v>A</v>
          </cell>
          <cell r="D47" t="str">
            <v>TSP TL Class</v>
          </cell>
          <cell r="E47" t="str">
            <v>db</v>
          </cell>
          <cell r="F47" t="str">
            <v>Text Pages</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row>
        <row r="48">
          <cell r="A48">
            <v>41</v>
          </cell>
          <cell r="B48" t="str">
            <v>TSP TL Class Instructor Guide</v>
          </cell>
          <cell r="C48" t="str">
            <v>A</v>
          </cell>
          <cell r="D48" t="str">
            <v>TSP TL Class</v>
          </cell>
          <cell r="E48" t="str">
            <v>db</v>
          </cell>
          <cell r="F48" t="str">
            <v>Text Pages</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row>
        <row r="49">
          <cell r="A49">
            <v>42</v>
          </cell>
          <cell r="B49" t="str">
            <v>TSP Team Member Handbook</v>
          </cell>
          <cell r="C49" t="str">
            <v>A</v>
          </cell>
          <cell r="D49" t="str">
            <v>TSP Training/Guidebooks</v>
          </cell>
          <cell r="E49" t="str">
            <v>wsh</v>
          </cell>
          <cell r="F49" t="str">
            <v>Text Pages</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15</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21.03305555555556</v>
          </cell>
          <cell r="EL49">
            <v>0</v>
          </cell>
          <cell r="EM49">
            <v>0</v>
          </cell>
          <cell r="EN49">
            <v>0</v>
          </cell>
          <cell r="EO49">
            <v>0</v>
          </cell>
          <cell r="EP49">
            <v>0</v>
          </cell>
        </row>
        <row r="50">
          <cell r="A50">
            <v>43</v>
          </cell>
          <cell r="B50" t="str">
            <v>TSP Team Member Training</v>
          </cell>
          <cell r="C50" t="str">
            <v>A</v>
          </cell>
          <cell r="D50" t="str">
            <v>TSP Training/Guidebooks</v>
          </cell>
          <cell r="E50" t="str">
            <v>wsh</v>
          </cell>
          <cell r="F50" t="str">
            <v>Text Pages</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row>
        <row r="51">
          <cell r="A51">
            <v>44</v>
          </cell>
          <cell r="B51" t="str">
            <v>TSP Launch Coach Guidebook</v>
          </cell>
          <cell r="C51" t="str">
            <v>A</v>
          </cell>
          <cell r="D51" t="str">
            <v>TSP Training/Guidebooks</v>
          </cell>
          <cell r="E51" t="str">
            <v>wsh</v>
          </cell>
          <cell r="F51" t="str">
            <v>Text Pages</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row>
        <row r="52">
          <cell r="A52">
            <v>45</v>
          </cell>
          <cell r="B52" t="str">
            <v>TSP License Agreement</v>
          </cell>
          <cell r="C52" t="str">
            <v>A</v>
          </cell>
          <cell r="D52" t="str">
            <v>TSP Training/Guidebooks</v>
          </cell>
          <cell r="E52" t="str">
            <v>jlg</v>
          </cell>
          <cell r="F52" t="str">
            <v>Text Pages</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row>
        <row r="53">
          <cell r="A53">
            <v>46</v>
          </cell>
          <cell r="B53" t="str">
            <v>TSP LC Observation Process</v>
          </cell>
          <cell r="C53" t="str">
            <v>A</v>
          </cell>
          <cell r="D53" t="str">
            <v>TSP Training/Guidebooks</v>
          </cell>
          <cell r="E53" t="str">
            <v>mph</v>
          </cell>
          <cell r="F53" t="str">
            <v>Text Pages</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row>
        <row r="54">
          <cell r="A54">
            <v>47</v>
          </cell>
          <cell r="B54" t="str">
            <v>TSP Tool Specification</v>
          </cell>
          <cell r="C54" t="str">
            <v>A</v>
          </cell>
          <cell r="D54" t="str">
            <v>Product development</v>
          </cell>
          <cell r="E54" t="str">
            <v>jwo</v>
          </cell>
          <cell r="F54" t="str">
            <v>Text Pages</v>
          </cell>
          <cell r="G54">
            <v>0</v>
          </cell>
          <cell r="H54">
            <v>0</v>
          </cell>
          <cell r="I54">
            <v>0</v>
          </cell>
          <cell r="J54">
            <v>100</v>
          </cell>
          <cell r="K54">
            <v>0</v>
          </cell>
          <cell r="L54">
            <v>100</v>
          </cell>
          <cell r="M54">
            <v>100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6</v>
          </cell>
          <cell r="DM54">
            <v>5.5</v>
          </cell>
          <cell r="DN54">
            <v>0</v>
          </cell>
          <cell r="DO54">
            <v>24</v>
          </cell>
          <cell r="DP54">
            <v>30.5</v>
          </cell>
          <cell r="DQ54">
            <v>1</v>
          </cell>
          <cell r="DR54">
            <v>100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row>
        <row r="55">
          <cell r="A55">
            <v>48</v>
          </cell>
          <cell r="B55" t="str">
            <v>TSP Tool Prototype</v>
          </cell>
          <cell r="C55" t="str">
            <v>A</v>
          </cell>
          <cell r="D55" t="str">
            <v>Product development</v>
          </cell>
          <cell r="E55" t="str">
            <v>jwo</v>
          </cell>
          <cell r="F55" t="str">
            <v>LOC</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7.625</v>
          </cell>
          <cell r="DJ55">
            <v>0</v>
          </cell>
          <cell r="DK55">
            <v>0</v>
          </cell>
          <cell r="DL55">
            <v>70.5</v>
          </cell>
          <cell r="DM55">
            <v>15.25</v>
          </cell>
          <cell r="DN55">
            <v>0</v>
          </cell>
          <cell r="DO55">
            <v>0</v>
          </cell>
          <cell r="DP55">
            <v>15.25</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row>
        <row r="56">
          <cell r="A56">
            <v>49</v>
          </cell>
          <cell r="B56" t="str">
            <v>Data Repository</v>
          </cell>
          <cell r="C56" t="str">
            <v>A</v>
          </cell>
          <cell r="D56" t="str">
            <v>Product development</v>
          </cell>
          <cell r="F56" t="str">
            <v>Text Pages</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row>
        <row r="57">
          <cell r="A57">
            <v>50</v>
          </cell>
          <cell r="B57" t="str">
            <v>Data Repos. - General Tasks</v>
          </cell>
          <cell r="C57" t="str">
            <v>A</v>
          </cell>
          <cell r="D57" t="str">
            <v>Data Repository</v>
          </cell>
          <cell r="E57" t="str">
            <v>adc</v>
          </cell>
          <cell r="F57" t="str">
            <v>Text Pages</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row>
        <row r="58">
          <cell r="A58">
            <v>51</v>
          </cell>
          <cell r="B58" t="str">
            <v>TSP Data Archive</v>
          </cell>
          <cell r="C58" t="str">
            <v>A</v>
          </cell>
          <cell r="D58" t="str">
            <v>Data Repository</v>
          </cell>
          <cell r="E58" t="str">
            <v>adc</v>
          </cell>
          <cell r="F58" t="str">
            <v>Text Pages</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row>
        <row r="59">
          <cell r="A59">
            <v>52</v>
          </cell>
          <cell r="B59" t="str">
            <v>Data Collection</v>
          </cell>
          <cell r="C59" t="str">
            <v>A</v>
          </cell>
          <cell r="D59" t="str">
            <v>Data Repository</v>
          </cell>
          <cell r="E59" t="str">
            <v>adc</v>
          </cell>
          <cell r="F59" t="str">
            <v>Text Pages</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row>
        <row r="60">
          <cell r="A60">
            <v>53</v>
          </cell>
          <cell r="B60" t="str">
            <v>Instructional Design</v>
          </cell>
          <cell r="C60" t="str">
            <v>A</v>
          </cell>
          <cell r="D60" t="str">
            <v>Product development</v>
          </cell>
          <cell r="F60" t="str">
            <v>Text Pages</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row>
        <row r="61">
          <cell r="A61">
            <v>54</v>
          </cell>
          <cell r="B61" t="str">
            <v>Transition</v>
          </cell>
          <cell r="C61" t="str">
            <v>A</v>
          </cell>
          <cell r="D61" t="str">
            <v>2004 plan</v>
          </cell>
          <cell r="F61" t="str">
            <v>Text Pages</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4</v>
          </cell>
          <cell r="DB61">
            <v>0</v>
          </cell>
          <cell r="DC61">
            <v>0</v>
          </cell>
          <cell r="DD61">
            <v>1</v>
          </cell>
          <cell r="DE61">
            <v>0</v>
          </cell>
          <cell r="DF61">
            <v>0</v>
          </cell>
          <cell r="DG61">
            <v>3</v>
          </cell>
          <cell r="DH61">
            <v>0</v>
          </cell>
          <cell r="DI61">
            <v>0</v>
          </cell>
          <cell r="DJ61">
            <v>0</v>
          </cell>
          <cell r="DK61">
            <v>3</v>
          </cell>
          <cell r="DL61">
            <v>55</v>
          </cell>
          <cell r="DM61">
            <v>0</v>
          </cell>
          <cell r="DN61">
            <v>0</v>
          </cell>
          <cell r="DO61">
            <v>10</v>
          </cell>
          <cell r="DP61">
            <v>0</v>
          </cell>
          <cell r="DQ61">
            <v>0</v>
          </cell>
          <cell r="DR61">
            <v>30</v>
          </cell>
          <cell r="DS61">
            <v>0</v>
          </cell>
          <cell r="DT61">
            <v>0</v>
          </cell>
          <cell r="DU61">
            <v>0</v>
          </cell>
          <cell r="DV61">
            <v>0</v>
          </cell>
          <cell r="DW61">
            <v>0.99999999999999833</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19.00416666666667</v>
          </cell>
          <cell r="EO61">
            <v>0</v>
          </cell>
          <cell r="EP61">
            <v>0</v>
          </cell>
        </row>
        <row r="62">
          <cell r="A62">
            <v>55</v>
          </cell>
          <cell r="B62" t="str">
            <v>PTS</v>
          </cell>
          <cell r="C62" t="str">
            <v>A</v>
          </cell>
          <cell r="D62" t="str">
            <v>Transition</v>
          </cell>
          <cell r="F62" t="str">
            <v>Text Pages</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40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row>
        <row r="63">
          <cell r="A63">
            <v>56</v>
          </cell>
          <cell r="B63" t="str">
            <v>Distance Education</v>
          </cell>
          <cell r="C63" t="str">
            <v>A</v>
          </cell>
          <cell r="D63" t="str">
            <v>Transition</v>
          </cell>
          <cell r="F63" t="str">
            <v>Text Pages</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1</v>
          </cell>
          <cell r="DE63">
            <v>0</v>
          </cell>
          <cell r="DF63">
            <v>0</v>
          </cell>
          <cell r="DG63">
            <v>3</v>
          </cell>
          <cell r="DH63">
            <v>0</v>
          </cell>
          <cell r="DI63">
            <v>0</v>
          </cell>
          <cell r="DJ63">
            <v>0</v>
          </cell>
          <cell r="DK63">
            <v>3</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row>
        <row r="64">
          <cell r="A64">
            <v>57</v>
          </cell>
          <cell r="B64" t="str">
            <v>PSP Engineer Certification</v>
          </cell>
          <cell r="C64" t="str">
            <v>A</v>
          </cell>
          <cell r="D64" t="str">
            <v>Transition</v>
          </cell>
          <cell r="F64" t="str">
            <v>Text Pages</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row>
        <row r="65">
          <cell r="A65">
            <v>58</v>
          </cell>
          <cell r="B65" t="str">
            <v>Update Public Courses</v>
          </cell>
          <cell r="C65" t="str">
            <v>A</v>
          </cell>
          <cell r="D65" t="str">
            <v>Transition</v>
          </cell>
          <cell r="F65" t="str">
            <v>Text Pages</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row>
        <row r="66">
          <cell r="A66">
            <v>59</v>
          </cell>
          <cell r="B66" t="str">
            <v>Update PSP I and II</v>
          </cell>
          <cell r="C66" t="str">
            <v>A</v>
          </cell>
          <cell r="D66" t="str">
            <v>Update Public Courses</v>
          </cell>
          <cell r="E66" t="str">
            <v>jlg</v>
          </cell>
          <cell r="F66" t="str">
            <v>Text Pages</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row>
        <row r="67">
          <cell r="A67">
            <v>60</v>
          </cell>
          <cell r="B67" t="str">
            <v>Update PSP Instructor Training</v>
          </cell>
          <cell r="C67" t="str">
            <v>A</v>
          </cell>
          <cell r="D67" t="str">
            <v>Update Public Courses</v>
          </cell>
          <cell r="E67" t="str">
            <v>jlg</v>
          </cell>
          <cell r="F67" t="str">
            <v>Text Pages</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row>
        <row r="68">
          <cell r="A68">
            <v>61</v>
          </cell>
          <cell r="B68" t="str">
            <v>Update TSP Coach Training</v>
          </cell>
          <cell r="C68" t="str">
            <v>A</v>
          </cell>
          <cell r="D68" t="str">
            <v>Update Public Courses</v>
          </cell>
          <cell r="E68" t="str">
            <v>db</v>
          </cell>
          <cell r="F68" t="str">
            <v>Text Pages</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row>
        <row r="69">
          <cell r="A69">
            <v>62</v>
          </cell>
          <cell r="B69" t="str">
            <v>Update Executive Seminar</v>
          </cell>
          <cell r="C69" t="str">
            <v>A</v>
          </cell>
          <cell r="D69" t="str">
            <v>Update Public Courses</v>
          </cell>
          <cell r="E69" t="str">
            <v>db</v>
          </cell>
          <cell r="F69" t="str">
            <v>Text Pages</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row>
        <row r="70">
          <cell r="A70">
            <v>63</v>
          </cell>
          <cell r="B70" t="str">
            <v>Update Intro to PP Course</v>
          </cell>
          <cell r="C70" t="str">
            <v>A</v>
          </cell>
          <cell r="D70" t="str">
            <v>Update Public Courses</v>
          </cell>
          <cell r="E70" t="str">
            <v>mph</v>
          </cell>
          <cell r="F70" t="str">
            <v>Text Pages</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cell r="CF70">
            <v>0</v>
          </cell>
          <cell r="CG70">
            <v>0</v>
          </cell>
          <cell r="CH70">
            <v>0</v>
          </cell>
          <cell r="CI70">
            <v>0</v>
          </cell>
          <cell r="CJ70">
            <v>0</v>
          </cell>
          <cell r="CK70">
            <v>0</v>
          </cell>
          <cell r="CL70">
            <v>0</v>
          </cell>
          <cell r="CM70">
            <v>0</v>
          </cell>
          <cell r="CN70">
            <v>0</v>
          </cell>
          <cell r="CO70">
            <v>0</v>
          </cell>
          <cell r="CP70">
            <v>0</v>
          </cell>
          <cell r="CQ70">
            <v>0</v>
          </cell>
          <cell r="CR70">
            <v>0</v>
          </cell>
          <cell r="CS70">
            <v>0</v>
          </cell>
          <cell r="CT70">
            <v>0</v>
          </cell>
          <cell r="CU70">
            <v>0</v>
          </cell>
          <cell r="CV70">
            <v>0</v>
          </cell>
          <cell r="CW70">
            <v>0</v>
          </cell>
          <cell r="CX70">
            <v>0</v>
          </cell>
          <cell r="CY70">
            <v>0</v>
          </cell>
          <cell r="CZ70">
            <v>0</v>
          </cell>
          <cell r="DA70">
            <v>0</v>
          </cell>
          <cell r="DB70">
            <v>0</v>
          </cell>
          <cell r="DC70">
            <v>0</v>
          </cell>
          <cell r="DD70">
            <v>0</v>
          </cell>
          <cell r="DE70">
            <v>0</v>
          </cell>
          <cell r="DF70">
            <v>0</v>
          </cell>
          <cell r="DG70">
            <v>0</v>
          </cell>
          <cell r="DH70">
            <v>0</v>
          </cell>
          <cell r="DI70">
            <v>0</v>
          </cell>
          <cell r="DJ70">
            <v>0</v>
          </cell>
          <cell r="DK70">
            <v>0</v>
          </cell>
          <cell r="DL70">
            <v>0</v>
          </cell>
          <cell r="DM70">
            <v>0</v>
          </cell>
          <cell r="DN70">
            <v>0</v>
          </cell>
          <cell r="DO70">
            <v>0</v>
          </cell>
          <cell r="DP70">
            <v>0</v>
          </cell>
          <cell r="DQ70">
            <v>0</v>
          </cell>
          <cell r="DR70">
            <v>0</v>
          </cell>
          <cell r="DS70">
            <v>0</v>
          </cell>
          <cell r="DT70">
            <v>0</v>
          </cell>
          <cell r="DU70">
            <v>0</v>
          </cell>
          <cell r="DV70">
            <v>0</v>
          </cell>
          <cell r="DW70">
            <v>0</v>
          </cell>
          <cell r="DX70">
            <v>0</v>
          </cell>
          <cell r="DY70">
            <v>0</v>
          </cell>
          <cell r="DZ70">
            <v>0</v>
          </cell>
          <cell r="EA70">
            <v>0</v>
          </cell>
          <cell r="EB70">
            <v>0</v>
          </cell>
          <cell r="EC70">
            <v>0</v>
          </cell>
          <cell r="ED70">
            <v>0</v>
          </cell>
          <cell r="EE70">
            <v>0</v>
          </cell>
          <cell r="EF70">
            <v>0</v>
          </cell>
          <cell r="EG70">
            <v>0</v>
          </cell>
          <cell r="EH70">
            <v>0</v>
          </cell>
          <cell r="EI70">
            <v>0</v>
          </cell>
          <cell r="EJ70">
            <v>0</v>
          </cell>
          <cell r="EK70">
            <v>0</v>
          </cell>
          <cell r="EL70">
            <v>0</v>
          </cell>
          <cell r="EM70">
            <v>0</v>
          </cell>
          <cell r="EN70">
            <v>0</v>
          </cell>
          <cell r="EO70">
            <v>0</v>
          </cell>
          <cell r="EP70">
            <v>0</v>
          </cell>
        </row>
        <row r="71">
          <cell r="A71">
            <v>64</v>
          </cell>
          <cell r="B71" t="str">
            <v>Update Manager Training</v>
          </cell>
          <cell r="C71" t="str">
            <v>A</v>
          </cell>
          <cell r="D71" t="str">
            <v>Update Public Courses</v>
          </cell>
          <cell r="E71" t="str">
            <v>db</v>
          </cell>
          <cell r="F71" t="str">
            <v>Text Pages</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cell r="BY71">
            <v>0</v>
          </cell>
          <cell r="BZ71">
            <v>0</v>
          </cell>
          <cell r="CA71">
            <v>0</v>
          </cell>
          <cell r="CB71">
            <v>0</v>
          </cell>
          <cell r="CC71">
            <v>0</v>
          </cell>
          <cell r="CD71">
            <v>0</v>
          </cell>
          <cell r="CE71">
            <v>0</v>
          </cell>
          <cell r="CF71">
            <v>0</v>
          </cell>
          <cell r="CG71">
            <v>0</v>
          </cell>
          <cell r="CH71">
            <v>0</v>
          </cell>
          <cell r="CI71">
            <v>0</v>
          </cell>
          <cell r="CJ71">
            <v>0</v>
          </cell>
          <cell r="CK71">
            <v>0</v>
          </cell>
          <cell r="CL71">
            <v>0</v>
          </cell>
          <cell r="CM71">
            <v>0</v>
          </cell>
          <cell r="CN71">
            <v>0</v>
          </cell>
          <cell r="CO71">
            <v>0</v>
          </cell>
          <cell r="CP71">
            <v>0</v>
          </cell>
          <cell r="CQ71">
            <v>0</v>
          </cell>
          <cell r="CR71">
            <v>0</v>
          </cell>
          <cell r="CS71">
            <v>0</v>
          </cell>
          <cell r="CT71">
            <v>0</v>
          </cell>
          <cell r="CU71">
            <v>0</v>
          </cell>
          <cell r="CV71">
            <v>0</v>
          </cell>
          <cell r="CW71">
            <v>0</v>
          </cell>
          <cell r="CX71">
            <v>0</v>
          </cell>
          <cell r="CY71">
            <v>0</v>
          </cell>
          <cell r="CZ71">
            <v>0</v>
          </cell>
          <cell r="DA71">
            <v>0</v>
          </cell>
          <cell r="DB71">
            <v>0</v>
          </cell>
          <cell r="DC71">
            <v>0</v>
          </cell>
          <cell r="DD71">
            <v>0</v>
          </cell>
          <cell r="DE71">
            <v>0</v>
          </cell>
          <cell r="DF71">
            <v>0</v>
          </cell>
          <cell r="DG71">
            <v>0</v>
          </cell>
          <cell r="DH71">
            <v>0</v>
          </cell>
          <cell r="DI71">
            <v>0</v>
          </cell>
          <cell r="DJ71">
            <v>0</v>
          </cell>
          <cell r="DK71">
            <v>0</v>
          </cell>
          <cell r="DL71">
            <v>0</v>
          </cell>
          <cell r="DM71">
            <v>0</v>
          </cell>
          <cell r="DN71">
            <v>0</v>
          </cell>
          <cell r="DO71">
            <v>0</v>
          </cell>
          <cell r="DP71">
            <v>0</v>
          </cell>
          <cell r="DQ71">
            <v>0</v>
          </cell>
          <cell r="DR71">
            <v>0</v>
          </cell>
          <cell r="DS71">
            <v>0</v>
          </cell>
          <cell r="DT71">
            <v>0</v>
          </cell>
          <cell r="DU71">
            <v>0</v>
          </cell>
          <cell r="DV71">
            <v>0</v>
          </cell>
          <cell r="DW71">
            <v>0</v>
          </cell>
          <cell r="DX71">
            <v>0</v>
          </cell>
          <cell r="DY71">
            <v>0</v>
          </cell>
          <cell r="DZ71">
            <v>0</v>
          </cell>
          <cell r="EA71">
            <v>0</v>
          </cell>
          <cell r="EB71">
            <v>0</v>
          </cell>
          <cell r="EC71">
            <v>0</v>
          </cell>
          <cell r="ED71">
            <v>0</v>
          </cell>
          <cell r="EE71">
            <v>0</v>
          </cell>
          <cell r="EF71">
            <v>0</v>
          </cell>
          <cell r="EG71">
            <v>0</v>
          </cell>
          <cell r="EH71">
            <v>0</v>
          </cell>
          <cell r="EI71">
            <v>0</v>
          </cell>
          <cell r="EJ71">
            <v>0</v>
          </cell>
          <cell r="EK71">
            <v>0</v>
          </cell>
          <cell r="EL71">
            <v>0</v>
          </cell>
          <cell r="EM71">
            <v>0</v>
          </cell>
          <cell r="EN71">
            <v>0</v>
          </cell>
          <cell r="EO71">
            <v>0</v>
          </cell>
          <cell r="EP71">
            <v>0</v>
          </cell>
        </row>
        <row r="72">
          <cell r="A72">
            <v>65</v>
          </cell>
          <cell r="B72" t="str">
            <v>Deliver Public Courses</v>
          </cell>
          <cell r="C72" t="str">
            <v>A</v>
          </cell>
          <cell r="D72" t="str">
            <v>Transition</v>
          </cell>
          <cell r="F72" t="str">
            <v>Text Pages</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30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19.00416666666667</v>
          </cell>
          <cell r="EO72">
            <v>0</v>
          </cell>
          <cell r="EP72">
            <v>0</v>
          </cell>
        </row>
        <row r="73">
          <cell r="A73">
            <v>66</v>
          </cell>
          <cell r="B73" t="str">
            <v>Teach PSP I and PSP II</v>
          </cell>
          <cell r="C73" t="str">
            <v>A</v>
          </cell>
          <cell r="D73" t="str">
            <v>Deliver Public Courses</v>
          </cell>
          <cell r="E73" t="str">
            <v>jwo</v>
          </cell>
          <cell r="F73" t="str">
            <v>Text Pages</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30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19.00416666666667</v>
          </cell>
          <cell r="EO73">
            <v>0</v>
          </cell>
          <cell r="EP73">
            <v>0</v>
          </cell>
        </row>
        <row r="74">
          <cell r="A74">
            <v>67</v>
          </cell>
          <cell r="B74" t="str">
            <v>Teach PSP Instructor Training</v>
          </cell>
          <cell r="C74" t="str">
            <v>A</v>
          </cell>
          <cell r="D74" t="str">
            <v>Deliver Public Courses</v>
          </cell>
          <cell r="E74" t="str">
            <v>jwo</v>
          </cell>
          <cell r="F74" t="str">
            <v>Text Pages</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row>
        <row r="75">
          <cell r="A75">
            <v>68</v>
          </cell>
          <cell r="B75" t="str">
            <v>Teach Executive Seminar</v>
          </cell>
          <cell r="C75" t="str">
            <v>A</v>
          </cell>
          <cell r="D75" t="str">
            <v>Deliver Public Courses</v>
          </cell>
          <cell r="E75" t="str">
            <v>db</v>
          </cell>
          <cell r="F75" t="str">
            <v>Text Pages</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row>
        <row r="76">
          <cell r="A76">
            <v>69</v>
          </cell>
          <cell r="B76" t="str">
            <v>Teach Manager Training</v>
          </cell>
          <cell r="C76" t="str">
            <v>A</v>
          </cell>
          <cell r="D76" t="str">
            <v>Deliver Public Courses</v>
          </cell>
          <cell r="E76" t="str">
            <v>db</v>
          </cell>
          <cell r="F76" t="str">
            <v>Text Pages</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row>
        <row r="77">
          <cell r="A77">
            <v>70</v>
          </cell>
          <cell r="B77" t="str">
            <v>Teach Intro to PP Course</v>
          </cell>
          <cell r="C77" t="str">
            <v>A</v>
          </cell>
          <cell r="D77" t="str">
            <v>Deliver Public Courses</v>
          </cell>
          <cell r="E77" t="str">
            <v>mph</v>
          </cell>
          <cell r="F77" t="str">
            <v>Text Pages</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row>
        <row r="78">
          <cell r="A78">
            <v>71</v>
          </cell>
          <cell r="B78" t="str">
            <v>Teach TSP Coach Training</v>
          </cell>
          <cell r="C78" t="str">
            <v>A</v>
          </cell>
          <cell r="D78" t="str">
            <v>Deliver Public Courses</v>
          </cell>
          <cell r="E78" t="str">
            <v>db</v>
          </cell>
          <cell r="F78" t="str">
            <v>Text Pages</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row>
        <row r="79">
          <cell r="A79">
            <v>72</v>
          </cell>
          <cell r="B79" t="str">
            <v>Conferences</v>
          </cell>
          <cell r="C79" t="str">
            <v>A</v>
          </cell>
          <cell r="D79" t="str">
            <v>Transition</v>
          </cell>
          <cell r="F79" t="str">
            <v>Text Pages</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4</v>
          </cell>
          <cell r="DB79">
            <v>0</v>
          </cell>
          <cell r="DC79">
            <v>0</v>
          </cell>
          <cell r="DD79">
            <v>0</v>
          </cell>
          <cell r="DE79">
            <v>0</v>
          </cell>
          <cell r="DF79">
            <v>0</v>
          </cell>
          <cell r="DG79">
            <v>0</v>
          </cell>
          <cell r="DH79">
            <v>0</v>
          </cell>
          <cell r="DI79">
            <v>0</v>
          </cell>
          <cell r="DJ79">
            <v>0</v>
          </cell>
          <cell r="DK79">
            <v>0</v>
          </cell>
          <cell r="DL79">
            <v>15</v>
          </cell>
          <cell r="DM79">
            <v>0</v>
          </cell>
          <cell r="DN79">
            <v>0</v>
          </cell>
          <cell r="DO79">
            <v>10</v>
          </cell>
          <cell r="DP79">
            <v>0</v>
          </cell>
          <cell r="DQ79">
            <v>0</v>
          </cell>
          <cell r="DR79">
            <v>0</v>
          </cell>
          <cell r="DS79">
            <v>0</v>
          </cell>
          <cell r="DT79">
            <v>0</v>
          </cell>
          <cell r="DU79">
            <v>0</v>
          </cell>
          <cell r="DV79">
            <v>0</v>
          </cell>
          <cell r="DW79">
            <v>0.99999999999999833</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row>
        <row r="80">
          <cell r="A80">
            <v>73</v>
          </cell>
          <cell r="B80" t="str">
            <v>PSP/TSP Instructor/LC Workshop</v>
          </cell>
          <cell r="C80" t="str">
            <v>A</v>
          </cell>
          <cell r="D80" t="str">
            <v>Conferences</v>
          </cell>
          <cell r="F80" t="str">
            <v>Text Pages</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row>
        <row r="81">
          <cell r="A81">
            <v>74</v>
          </cell>
          <cell r="B81" t="str">
            <v>PSP/TSP Faculty Workshop</v>
          </cell>
          <cell r="C81" t="str">
            <v>A</v>
          </cell>
          <cell r="D81" t="str">
            <v>Conferences</v>
          </cell>
          <cell r="F81" t="str">
            <v>Text Pages</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row>
        <row r="82">
          <cell r="A82">
            <v>75</v>
          </cell>
          <cell r="B82" t="str">
            <v>SEPG</v>
          </cell>
          <cell r="C82" t="str">
            <v>A</v>
          </cell>
          <cell r="D82" t="str">
            <v>Conferences</v>
          </cell>
          <cell r="F82" t="str">
            <v>Text Pages</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4</v>
          </cell>
          <cell r="DB82">
            <v>0</v>
          </cell>
          <cell r="DC82">
            <v>0</v>
          </cell>
          <cell r="DD82">
            <v>0</v>
          </cell>
          <cell r="DE82">
            <v>0</v>
          </cell>
          <cell r="DF82">
            <v>0</v>
          </cell>
          <cell r="DG82">
            <v>0</v>
          </cell>
          <cell r="DH82">
            <v>0</v>
          </cell>
          <cell r="DI82">
            <v>0</v>
          </cell>
          <cell r="DJ82">
            <v>0</v>
          </cell>
          <cell r="DK82">
            <v>0</v>
          </cell>
          <cell r="DL82">
            <v>15</v>
          </cell>
          <cell r="DM82">
            <v>0</v>
          </cell>
          <cell r="DN82">
            <v>0</v>
          </cell>
          <cell r="DO82">
            <v>10</v>
          </cell>
          <cell r="DP82">
            <v>0</v>
          </cell>
          <cell r="DQ82">
            <v>0</v>
          </cell>
          <cell r="DR82">
            <v>0</v>
          </cell>
          <cell r="DS82">
            <v>0</v>
          </cell>
          <cell r="DT82">
            <v>0</v>
          </cell>
          <cell r="DU82">
            <v>0</v>
          </cell>
          <cell r="DV82">
            <v>0</v>
          </cell>
          <cell r="DW82">
            <v>0.99999999999999833</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row>
        <row r="83">
          <cell r="A83">
            <v>76</v>
          </cell>
          <cell r="B83" t="str">
            <v>STC</v>
          </cell>
          <cell r="C83" t="str">
            <v>A</v>
          </cell>
          <cell r="D83" t="str">
            <v>Conferences</v>
          </cell>
          <cell r="F83" t="str">
            <v>Text Pages</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row>
        <row r="84">
          <cell r="A84">
            <v>77</v>
          </cell>
          <cell r="B84" t="str">
            <v>ESEPG</v>
          </cell>
          <cell r="C84" t="str">
            <v>A</v>
          </cell>
          <cell r="D84" t="str">
            <v>Conferences</v>
          </cell>
          <cell r="F84" t="str">
            <v>Text Pages</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row>
        <row r="85">
          <cell r="A85">
            <v>78</v>
          </cell>
          <cell r="B85" t="str">
            <v>SD West</v>
          </cell>
          <cell r="C85" t="str">
            <v>A</v>
          </cell>
          <cell r="D85" t="str">
            <v>Conferences</v>
          </cell>
          <cell r="F85" t="str">
            <v>Text Pages</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row>
        <row r="86">
          <cell r="A86">
            <v>79</v>
          </cell>
          <cell r="B86" t="str">
            <v>SEI Acquisition Conference</v>
          </cell>
          <cell r="C86" t="str">
            <v>A</v>
          </cell>
          <cell r="D86" t="str">
            <v>Conferences</v>
          </cell>
          <cell r="F86" t="str">
            <v>Text Pages</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row>
        <row r="87">
          <cell r="A87">
            <v>80</v>
          </cell>
          <cell r="B87" t="str">
            <v>TUG</v>
          </cell>
          <cell r="C87" t="str">
            <v>A</v>
          </cell>
          <cell r="D87" t="str">
            <v>Conferences</v>
          </cell>
          <cell r="F87" t="str">
            <v>Text Pages</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row>
        <row r="88">
          <cell r="A88">
            <v>81</v>
          </cell>
          <cell r="B88" t="str">
            <v>ICSE</v>
          </cell>
          <cell r="C88" t="str">
            <v>A</v>
          </cell>
          <cell r="D88" t="str">
            <v>Conferences</v>
          </cell>
          <cell r="F88" t="str">
            <v>Text Pages</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row>
        <row r="89">
          <cell r="A89">
            <v>82</v>
          </cell>
          <cell r="B89" t="str">
            <v>CMMI</v>
          </cell>
          <cell r="C89" t="str">
            <v>A</v>
          </cell>
          <cell r="D89" t="str">
            <v>Conferences</v>
          </cell>
          <cell r="F89" t="str">
            <v>Text Pages</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row>
        <row r="90">
          <cell r="A90">
            <v>83</v>
          </cell>
          <cell r="B90" t="str">
            <v>SD East</v>
          </cell>
          <cell r="C90" t="str">
            <v>A</v>
          </cell>
          <cell r="D90" t="str">
            <v>Conferences</v>
          </cell>
          <cell r="F90" t="str">
            <v>Text Pages</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row>
        <row r="91">
          <cell r="A91">
            <v>84</v>
          </cell>
          <cell r="B91" t="str">
            <v>TSP Launch Coach Observations</v>
          </cell>
          <cell r="C91" t="str">
            <v>A</v>
          </cell>
          <cell r="D91" t="str">
            <v>Transition</v>
          </cell>
          <cell r="F91" t="str">
            <v>Text Pages</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row>
        <row r="92">
          <cell r="A92">
            <v>85</v>
          </cell>
          <cell r="B92" t="str">
            <v>TSP Tool Evaluations</v>
          </cell>
          <cell r="C92" t="str">
            <v>A</v>
          </cell>
          <cell r="D92" t="str">
            <v>Transition</v>
          </cell>
          <cell r="E92" t="str">
            <v>jwo</v>
          </cell>
          <cell r="F92" t="str">
            <v>Text Pages</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row>
        <row r="93">
          <cell r="A93">
            <v>86</v>
          </cell>
          <cell r="B93" t="str">
            <v>Transition - General</v>
          </cell>
          <cell r="C93" t="str">
            <v>A</v>
          </cell>
          <cell r="D93" t="str">
            <v>Transition</v>
          </cell>
          <cell r="F93" t="str">
            <v>Text Pages</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row>
        <row r="94">
          <cell r="A94">
            <v>87</v>
          </cell>
          <cell r="B94" t="str">
            <v>TSP Effectiveness Report</v>
          </cell>
          <cell r="C94" t="str">
            <v>A</v>
          </cell>
          <cell r="D94" t="str">
            <v>2004 plan</v>
          </cell>
          <cell r="E94" t="str">
            <v>nd</v>
          </cell>
          <cell r="F94" t="str">
            <v>Text Pages</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row>
        <row r="95">
          <cell r="A95">
            <v>88</v>
          </cell>
          <cell r="B95" t="str">
            <v>Web site</v>
          </cell>
          <cell r="C95" t="str">
            <v>A</v>
          </cell>
          <cell r="D95" t="str">
            <v>Transition</v>
          </cell>
          <cell r="F95" t="str">
            <v>Text Pages</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row>
        <row r="96">
          <cell r="A96">
            <v>89</v>
          </cell>
          <cell r="B96" t="str">
            <v>Public Web Site</v>
          </cell>
          <cell r="C96" t="str">
            <v>A</v>
          </cell>
          <cell r="D96" t="str">
            <v>Web site</v>
          </cell>
          <cell r="E96" t="str">
            <v>jdm</v>
          </cell>
          <cell r="F96" t="str">
            <v>Text Pages</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row>
        <row r="97">
          <cell r="A97">
            <v>90</v>
          </cell>
          <cell r="B97" t="str">
            <v>TP Web Site</v>
          </cell>
          <cell r="C97" t="str">
            <v>A</v>
          </cell>
          <cell r="D97" t="str">
            <v>Web site</v>
          </cell>
          <cell r="E97" t="str">
            <v>nd</v>
          </cell>
          <cell r="F97" t="str">
            <v>Text Pages</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row>
        <row r="98">
          <cell r="A98">
            <v>91</v>
          </cell>
          <cell r="B98" t="str">
            <v>Academic Transition</v>
          </cell>
          <cell r="C98" t="str">
            <v>A</v>
          </cell>
          <cell r="D98" t="str">
            <v>Transition</v>
          </cell>
          <cell r="F98" t="str">
            <v>Text Pages</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row>
        <row r="99">
          <cell r="A99">
            <v>92</v>
          </cell>
          <cell r="B99" t="str">
            <v>Status Report</v>
          </cell>
          <cell r="C99" t="str">
            <v>A</v>
          </cell>
          <cell r="D99" t="str">
            <v>Academic Transition</v>
          </cell>
          <cell r="F99" t="str">
            <v>Text Pages</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row>
        <row r="100">
          <cell r="A100">
            <v>93</v>
          </cell>
          <cell r="B100" t="str">
            <v>Action Report</v>
          </cell>
          <cell r="C100" t="str">
            <v>A</v>
          </cell>
          <cell r="D100" t="str">
            <v>Academic Transition</v>
          </cell>
          <cell r="F100" t="str">
            <v>Text Pages</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row>
        <row r="101">
          <cell r="A101">
            <v>94</v>
          </cell>
          <cell r="B101" t="str">
            <v>New faculty workshop</v>
          </cell>
          <cell r="C101" t="str">
            <v>A</v>
          </cell>
          <cell r="D101" t="str">
            <v>Academic Transition</v>
          </cell>
          <cell r="F101" t="str">
            <v>Text Pages</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row>
        <row r="102">
          <cell r="A102">
            <v>95</v>
          </cell>
          <cell r="B102" t="str">
            <v>Faculty support materials</v>
          </cell>
          <cell r="C102" t="str">
            <v>A</v>
          </cell>
          <cell r="D102" t="str">
            <v>Academic Transition</v>
          </cell>
          <cell r="F102" t="str">
            <v>Text Pages</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row>
        <row r="103">
          <cell r="A103">
            <v>96</v>
          </cell>
          <cell r="B103" t="str">
            <v>Assessment</v>
          </cell>
          <cell r="C103" t="str">
            <v>A</v>
          </cell>
          <cell r="D103" t="str">
            <v>Academic Transition</v>
          </cell>
          <cell r="F103" t="str">
            <v>Text Pages</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row>
        <row r="104">
          <cell r="A104">
            <v>97</v>
          </cell>
          <cell r="B104" t="str">
            <v>WSH Other</v>
          </cell>
          <cell r="C104" t="str">
            <v>A</v>
          </cell>
          <cell r="D104" t="str">
            <v>2004 plan</v>
          </cell>
          <cell r="E104" t="str">
            <v>wsh</v>
          </cell>
          <cell r="F104" t="str">
            <v>Text Pages</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row>
        <row r="105">
          <cell r="A105">
            <v>98</v>
          </cell>
          <cell r="B105" t="str">
            <v>WSH Work</v>
          </cell>
          <cell r="C105" t="str">
            <v>A</v>
          </cell>
          <cell r="D105" t="str">
            <v>2004 plan</v>
          </cell>
          <cell r="E105" t="str">
            <v>wsh</v>
          </cell>
          <cell r="F105" t="str">
            <v>Text Pages</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row>
        <row r="106">
          <cell r="A106">
            <v>99</v>
          </cell>
          <cell r="B106" t="str">
            <v>WSH Talks</v>
          </cell>
          <cell r="C106" t="str">
            <v>A</v>
          </cell>
          <cell r="D106" t="str">
            <v>WSH Work</v>
          </cell>
          <cell r="E106" t="str">
            <v>wsh</v>
          </cell>
          <cell r="F106" t="str">
            <v>Text Pages</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row>
        <row r="107">
          <cell r="A107">
            <v>100</v>
          </cell>
          <cell r="B107" t="str">
            <v>WSH Miscellaneous</v>
          </cell>
          <cell r="C107" t="str">
            <v>A</v>
          </cell>
          <cell r="D107" t="str">
            <v>WSH Work</v>
          </cell>
          <cell r="E107" t="str">
            <v>wsh</v>
          </cell>
          <cell r="F107" t="str">
            <v>Text Pages</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row>
        <row r="108">
          <cell r="A108">
            <v>101</v>
          </cell>
          <cell r="B108" t="str">
            <v>WSH Papers</v>
          </cell>
          <cell r="C108" t="str">
            <v>A</v>
          </cell>
          <cell r="D108" t="str">
            <v>WSH Work</v>
          </cell>
          <cell r="E108" t="str">
            <v>wsh</v>
          </cell>
          <cell r="F108" t="str">
            <v>Text Pages</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row>
        <row r="109">
          <cell r="A109">
            <v>102</v>
          </cell>
          <cell r="B109" t="str">
            <v>WSH Columns</v>
          </cell>
          <cell r="C109" t="str">
            <v>A</v>
          </cell>
          <cell r="D109" t="str">
            <v>WSH Work</v>
          </cell>
          <cell r="E109" t="str">
            <v>wsh</v>
          </cell>
          <cell r="F109" t="str">
            <v>Text Pages</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row>
        <row r="110">
          <cell r="A110">
            <v>103</v>
          </cell>
          <cell r="B110" t="str">
            <v>TSP Tool Support</v>
          </cell>
          <cell r="C110" t="str">
            <v>A</v>
          </cell>
          <cell r="D110" t="str">
            <v>Product development</v>
          </cell>
          <cell r="E110" t="str">
            <v>jwo</v>
          </cell>
          <cell r="F110" t="str">
            <v>Text Pages</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7</v>
          </cell>
          <cell r="AR110">
            <v>0</v>
          </cell>
          <cell r="AS110">
            <v>0</v>
          </cell>
          <cell r="AT110">
            <v>0</v>
          </cell>
          <cell r="AU110">
            <v>0</v>
          </cell>
          <cell r="AV110">
            <v>0</v>
          </cell>
          <cell r="AW110">
            <v>0</v>
          </cell>
          <cell r="AX110">
            <v>0</v>
          </cell>
          <cell r="AY110">
            <v>0</v>
          </cell>
          <cell r="AZ110">
            <v>0</v>
          </cell>
          <cell r="BA110">
            <v>0</v>
          </cell>
          <cell r="BB110">
            <v>18</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4</v>
          </cell>
          <cell r="CM110">
            <v>0</v>
          </cell>
          <cell r="CN110">
            <v>0</v>
          </cell>
          <cell r="CO110">
            <v>0</v>
          </cell>
          <cell r="CP110">
            <v>1</v>
          </cell>
          <cell r="CQ110">
            <v>17</v>
          </cell>
          <cell r="CR110">
            <v>0</v>
          </cell>
          <cell r="CS110">
            <v>0</v>
          </cell>
          <cell r="CT110">
            <v>3</v>
          </cell>
          <cell r="CU110">
            <v>0</v>
          </cell>
          <cell r="CV110">
            <v>0</v>
          </cell>
          <cell r="CW110">
            <v>0</v>
          </cell>
          <cell r="CX110">
            <v>0</v>
          </cell>
          <cell r="CY110">
            <v>0</v>
          </cell>
          <cell r="CZ110">
            <v>0</v>
          </cell>
          <cell r="DA110">
            <v>3</v>
          </cell>
          <cell r="DB110">
            <v>0</v>
          </cell>
          <cell r="DC110">
            <v>0</v>
          </cell>
          <cell r="DD110">
            <v>0</v>
          </cell>
          <cell r="DE110">
            <v>0</v>
          </cell>
          <cell r="DF110">
            <v>0</v>
          </cell>
          <cell r="DG110">
            <v>0</v>
          </cell>
          <cell r="DH110">
            <v>2</v>
          </cell>
          <cell r="DI110">
            <v>1</v>
          </cell>
          <cell r="DJ110">
            <v>0</v>
          </cell>
          <cell r="DK110">
            <v>0</v>
          </cell>
          <cell r="DL110">
            <v>22</v>
          </cell>
          <cell r="DM110">
            <v>5</v>
          </cell>
          <cell r="DN110">
            <v>0</v>
          </cell>
          <cell r="DO110">
            <v>0</v>
          </cell>
          <cell r="DP110">
            <v>6</v>
          </cell>
          <cell r="DQ110">
            <v>0</v>
          </cell>
          <cell r="DR110">
            <v>0</v>
          </cell>
          <cell r="DS110">
            <v>0</v>
          </cell>
          <cell r="DT110">
            <v>3</v>
          </cell>
          <cell r="DU110">
            <v>0</v>
          </cell>
          <cell r="DV110">
            <v>0</v>
          </cell>
          <cell r="DW110">
            <v>1</v>
          </cell>
          <cell r="DX110">
            <v>0</v>
          </cell>
          <cell r="DY110">
            <v>0</v>
          </cell>
          <cell r="DZ110">
            <v>0</v>
          </cell>
          <cell r="EA110">
            <v>0</v>
          </cell>
          <cell r="EB110">
            <v>0</v>
          </cell>
          <cell r="EC110">
            <v>0</v>
          </cell>
          <cell r="ED110">
            <v>2.6947222222222211</v>
          </cell>
          <cell r="EE110">
            <v>0</v>
          </cell>
          <cell r="EF110">
            <v>0</v>
          </cell>
          <cell r="EG110">
            <v>0</v>
          </cell>
          <cell r="EH110">
            <v>7.7249999999999996</v>
          </cell>
          <cell r="EI110">
            <v>2.9222222222222225</v>
          </cell>
          <cell r="EJ110">
            <v>0</v>
          </cell>
          <cell r="EK110">
            <v>0</v>
          </cell>
          <cell r="EL110">
            <v>0.75777777777777855</v>
          </cell>
          <cell r="EM110">
            <v>0</v>
          </cell>
          <cell r="EN110">
            <v>0</v>
          </cell>
          <cell r="EO110">
            <v>0</v>
          </cell>
          <cell r="EP110">
            <v>0</v>
          </cell>
        </row>
        <row r="111">
          <cell r="A111">
            <v>104</v>
          </cell>
          <cell r="B111" t="str">
            <v>ISAM</v>
          </cell>
          <cell r="C111" t="str">
            <v>A</v>
          </cell>
          <cell r="D111" t="str">
            <v>Mature TSP</v>
          </cell>
          <cell r="E111" t="str">
            <v>adc</v>
          </cell>
          <cell r="F111" t="str">
            <v>Text Pages</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2</v>
          </cell>
          <cell r="DE111">
            <v>0</v>
          </cell>
          <cell r="DF111">
            <v>0</v>
          </cell>
          <cell r="DG111">
            <v>0</v>
          </cell>
          <cell r="DH111">
            <v>0</v>
          </cell>
          <cell r="DI111">
            <v>0</v>
          </cell>
          <cell r="DJ111">
            <v>0</v>
          </cell>
          <cell r="DK111">
            <v>6</v>
          </cell>
          <cell r="DL111">
            <v>0</v>
          </cell>
          <cell r="DM111">
            <v>0</v>
          </cell>
          <cell r="DN111">
            <v>0</v>
          </cell>
          <cell r="DO111">
            <v>2</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row>
        <row r="112">
          <cell r="A112">
            <v>105</v>
          </cell>
          <cell r="B112" t="str">
            <v>ISAM Exec Course</v>
          </cell>
          <cell r="C112" t="str">
            <v>A</v>
          </cell>
          <cell r="D112" t="str">
            <v>ISAM</v>
          </cell>
          <cell r="E112" t="str">
            <v>adc</v>
          </cell>
          <cell r="F112" t="str">
            <v>Text Pages</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row>
        <row r="113">
          <cell r="A113">
            <v>106</v>
          </cell>
          <cell r="B113" t="str">
            <v>ISAM PM Workshop</v>
          </cell>
          <cell r="C113" t="str">
            <v>A</v>
          </cell>
          <cell r="D113" t="str">
            <v>ISAM</v>
          </cell>
          <cell r="E113" t="str">
            <v>adc</v>
          </cell>
          <cell r="F113" t="str">
            <v>Text Pages</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row>
        <row r="114">
          <cell r="A114">
            <v>107</v>
          </cell>
          <cell r="B114" t="str">
            <v>ISAM General</v>
          </cell>
          <cell r="C114" t="str">
            <v>A</v>
          </cell>
          <cell r="D114" t="str">
            <v>ISAM</v>
          </cell>
          <cell r="E114" t="str">
            <v>adc</v>
          </cell>
          <cell r="F114" t="str">
            <v>Text Pages</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row>
        <row r="115">
          <cell r="A115">
            <v>108</v>
          </cell>
          <cell r="B115" t="str">
            <v>ISAM Pilot AMCOM</v>
          </cell>
          <cell r="C115" t="str">
            <v>A</v>
          </cell>
          <cell r="D115" t="str">
            <v>ISAM</v>
          </cell>
          <cell r="E115" t="str">
            <v>adc</v>
          </cell>
          <cell r="F115" t="str">
            <v>Text Pages</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2</v>
          </cell>
          <cell r="DE115">
            <v>0</v>
          </cell>
          <cell r="DF115">
            <v>0</v>
          </cell>
          <cell r="DG115">
            <v>0</v>
          </cell>
          <cell r="DH115">
            <v>0</v>
          </cell>
          <cell r="DI115">
            <v>0</v>
          </cell>
          <cell r="DJ115">
            <v>0</v>
          </cell>
          <cell r="DK115">
            <v>6</v>
          </cell>
          <cell r="DL115">
            <v>0</v>
          </cell>
          <cell r="DM115">
            <v>0</v>
          </cell>
          <cell r="DN115">
            <v>0</v>
          </cell>
          <cell r="DO115">
            <v>2</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row>
        <row r="116">
          <cell r="A116">
            <v>109</v>
          </cell>
          <cell r="B116" t="str">
            <v>ISAM Pilot TACOM</v>
          </cell>
          <cell r="C116" t="str">
            <v>A</v>
          </cell>
          <cell r="D116" t="str">
            <v>ISAM</v>
          </cell>
          <cell r="E116" t="str">
            <v>adc</v>
          </cell>
          <cell r="F116" t="str">
            <v>Text Pages</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cell r="BO116">
            <v>0</v>
          </cell>
          <cell r="BP116">
            <v>0</v>
          </cell>
          <cell r="BQ116">
            <v>0</v>
          </cell>
          <cell r="BR116">
            <v>0</v>
          </cell>
          <cell r="BS116">
            <v>0</v>
          </cell>
          <cell r="BT116">
            <v>0</v>
          </cell>
          <cell r="BU116">
            <v>0</v>
          </cell>
          <cell r="BV116">
            <v>0</v>
          </cell>
          <cell r="BW116">
            <v>0</v>
          </cell>
          <cell r="BX116">
            <v>0</v>
          </cell>
          <cell r="BY116">
            <v>0</v>
          </cell>
          <cell r="BZ116">
            <v>0</v>
          </cell>
          <cell r="CA116">
            <v>0</v>
          </cell>
          <cell r="CB116">
            <v>0</v>
          </cell>
          <cell r="CC116">
            <v>0</v>
          </cell>
          <cell r="CD116">
            <v>0</v>
          </cell>
          <cell r="CE116">
            <v>0</v>
          </cell>
          <cell r="CF116">
            <v>0</v>
          </cell>
          <cell r="CG116">
            <v>0</v>
          </cell>
          <cell r="CH116">
            <v>0</v>
          </cell>
          <cell r="CI116">
            <v>0</v>
          </cell>
          <cell r="CJ116">
            <v>0</v>
          </cell>
          <cell r="CK116">
            <v>0</v>
          </cell>
          <cell r="CL116">
            <v>0</v>
          </cell>
          <cell r="CM116">
            <v>0</v>
          </cell>
          <cell r="CN116">
            <v>0</v>
          </cell>
          <cell r="CO116">
            <v>0</v>
          </cell>
          <cell r="CP116">
            <v>0</v>
          </cell>
          <cell r="CQ116">
            <v>0</v>
          </cell>
          <cell r="CR116">
            <v>0</v>
          </cell>
          <cell r="CS116">
            <v>0</v>
          </cell>
          <cell r="CT116">
            <v>0</v>
          </cell>
          <cell r="CU116">
            <v>0</v>
          </cell>
          <cell r="CV116">
            <v>0</v>
          </cell>
          <cell r="CW116">
            <v>0</v>
          </cell>
          <cell r="CX116">
            <v>0</v>
          </cell>
          <cell r="CY116">
            <v>0</v>
          </cell>
          <cell r="CZ116">
            <v>0</v>
          </cell>
          <cell r="DA116">
            <v>0</v>
          </cell>
          <cell r="DB116">
            <v>0</v>
          </cell>
          <cell r="DC116">
            <v>0</v>
          </cell>
          <cell r="DD116">
            <v>0</v>
          </cell>
          <cell r="DE116">
            <v>0</v>
          </cell>
          <cell r="DF116">
            <v>0</v>
          </cell>
          <cell r="DG116">
            <v>0</v>
          </cell>
          <cell r="DH116">
            <v>0</v>
          </cell>
          <cell r="DI116">
            <v>0</v>
          </cell>
          <cell r="DJ116">
            <v>0</v>
          </cell>
          <cell r="DK116">
            <v>0</v>
          </cell>
          <cell r="DL116">
            <v>0</v>
          </cell>
          <cell r="DM116">
            <v>0</v>
          </cell>
          <cell r="DN116">
            <v>0</v>
          </cell>
          <cell r="DO116">
            <v>0</v>
          </cell>
          <cell r="DP116">
            <v>0</v>
          </cell>
          <cell r="DQ116">
            <v>0</v>
          </cell>
          <cell r="DR116">
            <v>0</v>
          </cell>
          <cell r="DS116">
            <v>0</v>
          </cell>
          <cell r="DT116">
            <v>0</v>
          </cell>
          <cell r="DU116">
            <v>0</v>
          </cell>
          <cell r="DV116">
            <v>0</v>
          </cell>
          <cell r="DW116">
            <v>0</v>
          </cell>
          <cell r="DX116">
            <v>0</v>
          </cell>
          <cell r="DY116">
            <v>0</v>
          </cell>
          <cell r="DZ116">
            <v>0</v>
          </cell>
          <cell r="EA116">
            <v>0</v>
          </cell>
          <cell r="EB116">
            <v>0</v>
          </cell>
          <cell r="EC116">
            <v>0</v>
          </cell>
          <cell r="ED116">
            <v>0</v>
          </cell>
          <cell r="EE116">
            <v>0</v>
          </cell>
          <cell r="EF116">
            <v>0</v>
          </cell>
          <cell r="EG116">
            <v>0</v>
          </cell>
          <cell r="EH116">
            <v>0</v>
          </cell>
          <cell r="EI116">
            <v>0</v>
          </cell>
          <cell r="EJ116">
            <v>0</v>
          </cell>
          <cell r="EK116">
            <v>0</v>
          </cell>
          <cell r="EL116">
            <v>0</v>
          </cell>
          <cell r="EM116">
            <v>0</v>
          </cell>
          <cell r="EN116">
            <v>0</v>
          </cell>
          <cell r="EO116">
            <v>0</v>
          </cell>
          <cell r="EP116">
            <v>0</v>
          </cell>
        </row>
        <row r="117">
          <cell r="A117">
            <v>110</v>
          </cell>
          <cell r="B117" t="str">
            <v>ISAM Support for AMCOM</v>
          </cell>
          <cell r="C117" t="str">
            <v>A</v>
          </cell>
          <cell r="D117" t="str">
            <v>ISAM Pilot AMCOM</v>
          </cell>
          <cell r="E117" t="str">
            <v>adc</v>
          </cell>
          <cell r="F117" t="str">
            <v>Text Pages</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2</v>
          </cell>
          <cell r="DE117">
            <v>0</v>
          </cell>
          <cell r="DF117">
            <v>0</v>
          </cell>
          <cell r="DG117">
            <v>0</v>
          </cell>
          <cell r="DH117">
            <v>0</v>
          </cell>
          <cell r="DI117">
            <v>0</v>
          </cell>
          <cell r="DJ117">
            <v>0</v>
          </cell>
          <cell r="DK117">
            <v>6</v>
          </cell>
          <cell r="DL117">
            <v>0</v>
          </cell>
          <cell r="DM117">
            <v>0</v>
          </cell>
          <cell r="DN117">
            <v>0</v>
          </cell>
          <cell r="DO117">
            <v>2</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row>
        <row r="118">
          <cell r="A118">
            <v>111</v>
          </cell>
          <cell r="B118" t="str">
            <v>ISAM Measurement and Tracking Plan</v>
          </cell>
          <cell r="C118" t="str">
            <v>A</v>
          </cell>
          <cell r="D118" t="str">
            <v>ISAM Pilot AMCOM</v>
          </cell>
          <cell r="E118" t="str">
            <v>adc</v>
          </cell>
          <cell r="F118" t="str">
            <v>Text Pages</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row>
        <row r="119">
          <cell r="A119">
            <v>112</v>
          </cell>
          <cell r="B119" t="str">
            <v>cpg-other</v>
          </cell>
          <cell r="C119" t="str">
            <v>A</v>
          </cell>
          <cell r="D119" t="str">
            <v>SYSTEM</v>
          </cell>
          <cell r="E119" t="str">
            <v>cpg</v>
          </cell>
          <cell r="F119" t="str">
            <v>Text Pages</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row>
        <row r="120">
          <cell r="A120">
            <v>113</v>
          </cell>
          <cell r="B120" t="str">
            <v>chair sepg 2004</v>
          </cell>
          <cell r="C120" t="str">
            <v>A</v>
          </cell>
          <cell r="D120" t="str">
            <v>cpg-other</v>
          </cell>
          <cell r="E120" t="str">
            <v>cpg</v>
          </cell>
          <cell r="F120" t="str">
            <v>Text Pages</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row>
        <row r="121">
          <cell r="A121">
            <v>114</v>
          </cell>
          <cell r="B121" t="str">
            <v>cmmi for small teams</v>
          </cell>
          <cell r="C121" t="str">
            <v>A</v>
          </cell>
          <cell r="D121" t="str">
            <v>cpg-other</v>
          </cell>
          <cell r="E121" t="str">
            <v>cpg</v>
          </cell>
          <cell r="F121" t="str">
            <v>Text Pages</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row>
        <row r="122">
          <cell r="A122">
            <v>115</v>
          </cell>
          <cell r="B122" t="str">
            <v>IPRC</v>
          </cell>
          <cell r="C122" t="str">
            <v>A</v>
          </cell>
          <cell r="D122" t="str">
            <v>cpg-other</v>
          </cell>
          <cell r="E122" t="str">
            <v>cpg</v>
          </cell>
          <cell r="F122" t="str">
            <v>Text Pages</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row>
        <row r="123">
          <cell r="A123">
            <v>116</v>
          </cell>
          <cell r="B123" t="str">
            <v>Team Role Work</v>
          </cell>
          <cell r="C123" t="str">
            <v>A</v>
          </cell>
          <cell r="D123" t="str">
            <v>2004 plan</v>
          </cell>
          <cell r="E123" t="str">
            <v>jwo</v>
          </cell>
          <cell r="F123" t="str">
            <v>Text Pages</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12</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row>
        <row r="124">
          <cell r="A124">
            <v>117</v>
          </cell>
          <cell r="B124" t="str">
            <v>Team Config Mgt</v>
          </cell>
          <cell r="C124" t="str">
            <v>A</v>
          </cell>
          <cell r="D124" t="str">
            <v>Team Role Work</v>
          </cell>
          <cell r="E124" t="str">
            <v>db</v>
          </cell>
          <cell r="F124" t="str">
            <v>Text Pages</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12</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row>
        <row r="125">
          <cell r="A125">
            <v>118</v>
          </cell>
          <cell r="B125" t="str">
            <v>Process Manager</v>
          </cell>
          <cell r="C125" t="str">
            <v>A</v>
          </cell>
          <cell r="D125" t="str">
            <v>Team Role Work</v>
          </cell>
          <cell r="E125" t="str">
            <v>jlg</v>
          </cell>
          <cell r="F125" t="str">
            <v>Text Pages</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row>
        <row r="126">
          <cell r="A126">
            <v>119</v>
          </cell>
          <cell r="B126" t="str">
            <v>Plan Manager</v>
          </cell>
          <cell r="C126" t="str">
            <v>A</v>
          </cell>
          <cell r="D126" t="str">
            <v>Team Role Work</v>
          </cell>
          <cell r="E126" t="str">
            <v>aww</v>
          </cell>
          <cell r="F126" t="str">
            <v>Text Pages</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row>
        <row r="127">
          <cell r="A127">
            <v>120</v>
          </cell>
          <cell r="B127" t="str">
            <v>Quality Manager</v>
          </cell>
          <cell r="C127" t="str">
            <v>A</v>
          </cell>
          <cell r="D127" t="str">
            <v>Team Role Work</v>
          </cell>
          <cell r="E127" t="str">
            <v>dsw</v>
          </cell>
          <cell r="F127" t="str">
            <v>Text Pages</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row>
        <row r="128">
          <cell r="A128">
            <v>121</v>
          </cell>
          <cell r="B128" t="str">
            <v>Support Manager</v>
          </cell>
          <cell r="C128" t="str">
            <v>A</v>
          </cell>
          <cell r="D128" t="str">
            <v>Team Role Work</v>
          </cell>
          <cell r="E128" t="str">
            <v>db</v>
          </cell>
          <cell r="F128" t="str">
            <v>Text Pages</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row>
        <row r="129">
          <cell r="A129">
            <v>122</v>
          </cell>
          <cell r="B129" t="str">
            <v>Data Analysis Manager</v>
          </cell>
          <cell r="C129" t="str">
            <v>A</v>
          </cell>
          <cell r="D129" t="str">
            <v>Team Role Work</v>
          </cell>
          <cell r="E129" t="str">
            <v>adc</v>
          </cell>
          <cell r="F129" t="str">
            <v>Text Pages</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0</v>
          </cell>
          <cell r="BR129">
            <v>0</v>
          </cell>
          <cell r="BS129">
            <v>0</v>
          </cell>
          <cell r="BT129">
            <v>0</v>
          </cell>
          <cell r="BU129">
            <v>0</v>
          </cell>
          <cell r="BV129">
            <v>0</v>
          </cell>
          <cell r="BW129">
            <v>0</v>
          </cell>
          <cell r="BX129">
            <v>0</v>
          </cell>
          <cell r="BY129">
            <v>0</v>
          </cell>
          <cell r="BZ129">
            <v>0</v>
          </cell>
          <cell r="CA129">
            <v>0</v>
          </cell>
          <cell r="CB129">
            <v>0</v>
          </cell>
          <cell r="CC129">
            <v>0</v>
          </cell>
          <cell r="CD129">
            <v>0</v>
          </cell>
          <cell r="CE129">
            <v>0</v>
          </cell>
          <cell r="CF129">
            <v>0</v>
          </cell>
          <cell r="CG129">
            <v>0</v>
          </cell>
          <cell r="CH129">
            <v>0</v>
          </cell>
          <cell r="CI129">
            <v>0</v>
          </cell>
          <cell r="CJ129">
            <v>0</v>
          </cell>
          <cell r="CK129">
            <v>0</v>
          </cell>
          <cell r="CL129">
            <v>0</v>
          </cell>
          <cell r="CM129">
            <v>0</v>
          </cell>
          <cell r="CN129">
            <v>0</v>
          </cell>
          <cell r="CO129">
            <v>0</v>
          </cell>
          <cell r="CP129">
            <v>0</v>
          </cell>
          <cell r="CQ129">
            <v>0</v>
          </cell>
          <cell r="CR129">
            <v>0</v>
          </cell>
          <cell r="CS129">
            <v>0</v>
          </cell>
          <cell r="CT129">
            <v>0</v>
          </cell>
          <cell r="CU129">
            <v>0</v>
          </cell>
          <cell r="CV129">
            <v>0</v>
          </cell>
          <cell r="CW129">
            <v>0</v>
          </cell>
          <cell r="CX129">
            <v>0</v>
          </cell>
          <cell r="CY129">
            <v>0</v>
          </cell>
          <cell r="CZ129">
            <v>0</v>
          </cell>
          <cell r="DA129">
            <v>0</v>
          </cell>
          <cell r="DB129">
            <v>0</v>
          </cell>
          <cell r="DC129">
            <v>0</v>
          </cell>
          <cell r="DD129">
            <v>0</v>
          </cell>
          <cell r="DE129">
            <v>0</v>
          </cell>
          <cell r="DF129">
            <v>0</v>
          </cell>
          <cell r="DG129">
            <v>0</v>
          </cell>
          <cell r="DH129">
            <v>0</v>
          </cell>
          <cell r="DI129">
            <v>0</v>
          </cell>
          <cell r="DJ129">
            <v>0</v>
          </cell>
          <cell r="DK129">
            <v>0</v>
          </cell>
          <cell r="DL129">
            <v>0</v>
          </cell>
          <cell r="DM129">
            <v>0</v>
          </cell>
          <cell r="DN129">
            <v>0</v>
          </cell>
          <cell r="DO129">
            <v>0</v>
          </cell>
          <cell r="DP129">
            <v>0</v>
          </cell>
          <cell r="DQ129">
            <v>0</v>
          </cell>
          <cell r="DR129">
            <v>0</v>
          </cell>
          <cell r="DS129">
            <v>0</v>
          </cell>
          <cell r="DT129">
            <v>0</v>
          </cell>
          <cell r="DU129">
            <v>0</v>
          </cell>
          <cell r="DV129">
            <v>0</v>
          </cell>
          <cell r="DW129">
            <v>0</v>
          </cell>
          <cell r="DX129">
            <v>0</v>
          </cell>
          <cell r="DY129">
            <v>0</v>
          </cell>
          <cell r="DZ129">
            <v>0</v>
          </cell>
          <cell r="EA129">
            <v>0</v>
          </cell>
          <cell r="EB129">
            <v>0</v>
          </cell>
          <cell r="EC129">
            <v>0</v>
          </cell>
          <cell r="ED129">
            <v>0</v>
          </cell>
          <cell r="EE129">
            <v>0</v>
          </cell>
          <cell r="EF129">
            <v>0</v>
          </cell>
          <cell r="EG129">
            <v>0</v>
          </cell>
          <cell r="EH129">
            <v>0</v>
          </cell>
          <cell r="EI129">
            <v>0</v>
          </cell>
          <cell r="EJ129">
            <v>0</v>
          </cell>
          <cell r="EK129">
            <v>0</v>
          </cell>
          <cell r="EL129">
            <v>0</v>
          </cell>
          <cell r="EM129">
            <v>0</v>
          </cell>
          <cell r="EN129">
            <v>0</v>
          </cell>
          <cell r="EO129">
            <v>0</v>
          </cell>
          <cell r="EP129">
            <v>0</v>
          </cell>
        </row>
        <row r="130">
          <cell r="A130">
            <v>123</v>
          </cell>
          <cell r="B130" t="str">
            <v>Data Studies</v>
          </cell>
          <cell r="C130" t="str">
            <v>A</v>
          </cell>
          <cell r="D130" t="str">
            <v>Data Analysis Manager</v>
          </cell>
          <cell r="E130" t="str">
            <v>adc</v>
          </cell>
          <cell r="F130" t="str">
            <v>Text Pages</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row>
        <row r="131">
          <cell r="A131">
            <v>124</v>
          </cell>
          <cell r="B131" t="str">
            <v>Data Analysis - General</v>
          </cell>
          <cell r="C131" t="str">
            <v>A</v>
          </cell>
          <cell r="D131" t="str">
            <v>Data Analysis Manager</v>
          </cell>
          <cell r="E131" t="str">
            <v>adc</v>
          </cell>
          <cell r="F131" t="str">
            <v>Text Pages</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row>
      </sheetData>
      <sheetData sheetId="12"/>
      <sheetData sheetId="13">
        <row r="7">
          <cell r="A7" t="str">
            <v>Assembly</v>
          </cell>
          <cell r="B7" t="str">
            <v>Phase</v>
          </cell>
          <cell r="C7" t="str">
            <v>Task</v>
          </cell>
          <cell r="D7" t="str">
            <v>Team Leader</v>
          </cell>
          <cell r="E7" t="str">
            <v>Customer Interface Manager</v>
          </cell>
          <cell r="F7" t="str">
            <v>Design Manager</v>
          </cell>
          <cell r="G7" t="str">
            <v>Implementation Manager</v>
          </cell>
          <cell r="H7" t="str">
            <v>Planning Manager</v>
          </cell>
          <cell r="I7" t="str">
            <v>License Manager</v>
          </cell>
          <cell r="J7" t="str">
            <v>Total Resource Hours</v>
          </cell>
          <cell r="K7" t="str">
            <v>Resources</v>
          </cell>
          <cell r="L7" t="str">
            <v>Estimated Size</v>
          </cell>
          <cell r="M7" t="str">
            <v>Size Measure</v>
          </cell>
          <cell r="N7" t="str">
            <v>Rate (per Hr.)</v>
          </cell>
          <cell r="O7" t="str">
            <v>Estimated Hours</v>
          </cell>
          <cell r="P7" t="str">
            <v>Engrs</v>
          </cell>
          <cell r="Q7" t="str">
            <v>Plan Hours</v>
          </cell>
          <cell r="R7" t="str">
            <v>Plan Date</v>
          </cell>
          <cell r="S7" t="str">
            <v>Plan Week</v>
          </cell>
          <cell r="T7" t="str">
            <v>Actual Hours</v>
          </cell>
          <cell r="U7" t="str">
            <v>Actual Date</v>
          </cell>
          <cell r="V7" t="str">
            <v>Actual Week</v>
          </cell>
          <cell r="W7" t="str">
            <v>Earned Value</v>
          </cell>
          <cell r="X7" t="str">
            <v>Cumulative EV</v>
          </cell>
          <cell r="Y7" t="str">
            <v>Cumulative Plan Hours</v>
          </cell>
          <cell r="Z7" t="str">
            <v>Cumulative Plan Value</v>
          </cell>
          <cell r="AA7" t="str">
            <v>Plan Value</v>
          </cell>
          <cell r="AC7" t="str">
            <v>Predicted Date</v>
          </cell>
          <cell r="AD7" t="str">
            <v>Plan Date + Current Slip</v>
          </cell>
          <cell r="AE7" t="str">
            <v>Committed Date</v>
          </cell>
          <cell r="AF7" t="str">
            <v>Baseline Date</v>
          </cell>
        </row>
        <row r="8">
          <cell r="Q8">
            <v>0</v>
          </cell>
          <cell r="R8">
            <v>38124</v>
          </cell>
          <cell r="S8">
            <v>1</v>
          </cell>
          <cell r="T8">
            <v>0</v>
          </cell>
          <cell r="V8">
            <v>0</v>
          </cell>
          <cell r="W8">
            <v>0</v>
          </cell>
          <cell r="X8">
            <v>0</v>
          </cell>
          <cell r="Y8">
            <v>0</v>
          </cell>
          <cell r="Z8">
            <v>0</v>
          </cell>
          <cell r="AA8">
            <v>0</v>
          </cell>
        </row>
        <row r="9">
          <cell r="C9" t="str">
            <v>***Completed Tasks</v>
          </cell>
          <cell r="Q9">
            <v>0</v>
          </cell>
          <cell r="R9">
            <v>38124</v>
          </cell>
          <cell r="S9">
            <v>1</v>
          </cell>
          <cell r="T9">
            <v>0</v>
          </cell>
          <cell r="V9">
            <v>0</v>
          </cell>
          <cell r="W9">
            <v>0</v>
          </cell>
          <cell r="X9">
            <v>0</v>
          </cell>
          <cell r="Y9">
            <v>0</v>
          </cell>
          <cell r="Z9">
            <v>0</v>
          </cell>
          <cell r="AA9">
            <v>0</v>
          </cell>
        </row>
        <row r="10">
          <cell r="A10" t="str">
            <v>SYSTEM</v>
          </cell>
          <cell r="B10" t="str">
            <v>PLAN</v>
          </cell>
          <cell r="C10" t="str">
            <v>SEI TSP Team Launch MAY 17-21</v>
          </cell>
          <cell r="K10" t="str">
            <v>all</v>
          </cell>
          <cell r="O10">
            <v>30</v>
          </cell>
          <cell r="P10">
            <v>1</v>
          </cell>
          <cell r="Q10">
            <v>30</v>
          </cell>
          <cell r="R10">
            <v>38124</v>
          </cell>
          <cell r="S10">
            <v>1</v>
          </cell>
          <cell r="T10">
            <v>25.180277777777782</v>
          </cell>
          <cell r="U10">
            <v>38128</v>
          </cell>
          <cell r="V10">
            <v>1</v>
          </cell>
          <cell r="W10">
            <v>4.7647409172126265</v>
          </cell>
          <cell r="X10">
            <v>0</v>
          </cell>
          <cell r="Y10">
            <v>30</v>
          </cell>
          <cell r="Z10">
            <v>4.7647409172126265</v>
          </cell>
          <cell r="AA10">
            <v>4.7647409172126265</v>
          </cell>
        </row>
        <row r="11">
          <cell r="A11" t="str">
            <v>Teach PSP I and PSP II</v>
          </cell>
          <cell r="B11" t="str">
            <v>ST</v>
          </cell>
          <cell r="C11" t="str">
            <v>Teach PSP I and PSP II ST 5/24/04</v>
          </cell>
          <cell r="K11" t="str">
            <v>jwo</v>
          </cell>
          <cell r="O11">
            <v>30</v>
          </cell>
          <cell r="P11">
            <v>1</v>
          </cell>
          <cell r="Q11">
            <v>30</v>
          </cell>
          <cell r="R11">
            <v>38131</v>
          </cell>
          <cell r="S11">
            <v>2</v>
          </cell>
          <cell r="T11">
            <v>19.00416666666667</v>
          </cell>
          <cell r="U11">
            <v>38135</v>
          </cell>
          <cell r="V11">
            <v>2</v>
          </cell>
          <cell r="W11">
            <v>4.7647409172126265</v>
          </cell>
          <cell r="X11">
            <v>0</v>
          </cell>
          <cell r="Y11">
            <v>60</v>
          </cell>
          <cell r="Z11">
            <v>9.529481834425253</v>
          </cell>
          <cell r="AA11">
            <v>4.7647409172126265</v>
          </cell>
        </row>
        <row r="12">
          <cell r="A12" t="str">
            <v>TSP Team Member Handbook</v>
          </cell>
          <cell r="B12" t="str">
            <v>CODEINSP</v>
          </cell>
          <cell r="C12" t="str">
            <v>TSP Team Member Handbook Chapters 7 to 12</v>
          </cell>
          <cell r="K12" t="str">
            <v>jwo</v>
          </cell>
          <cell r="O12">
            <v>10</v>
          </cell>
          <cell r="P12">
            <v>1</v>
          </cell>
          <cell r="Q12">
            <v>10</v>
          </cell>
          <cell r="R12">
            <v>38131</v>
          </cell>
          <cell r="S12">
            <v>2</v>
          </cell>
          <cell r="T12">
            <v>17.610277777777785</v>
          </cell>
          <cell r="U12">
            <v>38140</v>
          </cell>
          <cell r="V12">
            <v>3</v>
          </cell>
          <cell r="W12">
            <v>1.588246972404209</v>
          </cell>
          <cell r="X12">
            <v>0</v>
          </cell>
          <cell r="Y12">
            <v>70</v>
          </cell>
          <cell r="Z12">
            <v>11.117728806829462</v>
          </cell>
          <cell r="AA12">
            <v>1.588246972404209</v>
          </cell>
        </row>
        <row r="13">
          <cell r="A13" t="str">
            <v>TSP Team Member Handbook</v>
          </cell>
          <cell r="B13" t="str">
            <v>CODEINSP</v>
          </cell>
          <cell r="C13" t="str">
            <v>TSP Team Member Handbook Appendices</v>
          </cell>
          <cell r="K13" t="str">
            <v>jwo</v>
          </cell>
          <cell r="O13">
            <v>5</v>
          </cell>
          <cell r="P13">
            <v>1</v>
          </cell>
          <cell r="Q13">
            <v>5</v>
          </cell>
          <cell r="R13">
            <v>38138</v>
          </cell>
          <cell r="S13">
            <v>3</v>
          </cell>
          <cell r="T13">
            <v>3.4227777777777759</v>
          </cell>
          <cell r="U13">
            <v>38151</v>
          </cell>
          <cell r="V13">
            <v>4</v>
          </cell>
          <cell r="W13">
            <v>0.79412348620210449</v>
          </cell>
          <cell r="X13">
            <v>0</v>
          </cell>
          <cell r="Y13">
            <v>75</v>
          </cell>
          <cell r="Z13">
            <v>11.911852293031567</v>
          </cell>
          <cell r="AA13">
            <v>0.79412348620210449</v>
          </cell>
        </row>
        <row r="14">
          <cell r="A14" t="str">
            <v>Marketing</v>
          </cell>
          <cell r="B14" t="str">
            <v>CODE</v>
          </cell>
          <cell r="C14" t="str">
            <v>ITEA Presentation (Due date slipped to May 14)</v>
          </cell>
          <cell r="K14" t="str">
            <v>jwo</v>
          </cell>
          <cell r="L14">
            <v>10</v>
          </cell>
          <cell r="M14" t="str">
            <v>Slides</v>
          </cell>
          <cell r="N14">
            <v>1</v>
          </cell>
          <cell r="O14">
            <v>10</v>
          </cell>
          <cell r="P14">
            <v>1</v>
          </cell>
          <cell r="Q14">
            <v>10</v>
          </cell>
          <cell r="R14">
            <v>38138</v>
          </cell>
          <cell r="S14">
            <v>3</v>
          </cell>
          <cell r="T14">
            <v>8.9122222222222227</v>
          </cell>
          <cell r="U14">
            <v>38132</v>
          </cell>
          <cell r="V14">
            <v>2</v>
          </cell>
          <cell r="W14">
            <v>1.588246972404209</v>
          </cell>
          <cell r="X14">
            <v>0</v>
          </cell>
          <cell r="Y14">
            <v>85</v>
          </cell>
          <cell r="Z14">
            <v>13.500099265435775</v>
          </cell>
          <cell r="AA14">
            <v>1.588246972404209</v>
          </cell>
        </row>
        <row r="15">
          <cell r="A15" t="str">
            <v>Marketing</v>
          </cell>
          <cell r="B15" t="str">
            <v>CODE</v>
          </cell>
          <cell r="C15" t="str">
            <v>ITEA Presentation Deliver</v>
          </cell>
          <cell r="K15" t="str">
            <v>jwo</v>
          </cell>
          <cell r="L15">
            <v>10</v>
          </cell>
          <cell r="M15" t="str">
            <v>Slides</v>
          </cell>
          <cell r="N15">
            <v>1</v>
          </cell>
          <cell r="O15">
            <v>10</v>
          </cell>
          <cell r="P15">
            <v>1</v>
          </cell>
          <cell r="Q15">
            <v>10</v>
          </cell>
          <cell r="R15">
            <v>38138</v>
          </cell>
          <cell r="S15">
            <v>3</v>
          </cell>
          <cell r="T15">
            <v>6.9811111111111117</v>
          </cell>
          <cell r="U15">
            <v>38146</v>
          </cell>
          <cell r="V15">
            <v>4</v>
          </cell>
          <cell r="W15">
            <v>1.588246972404209</v>
          </cell>
          <cell r="X15">
            <v>0</v>
          </cell>
          <cell r="Y15">
            <v>95</v>
          </cell>
          <cell r="Z15">
            <v>15.088346237839984</v>
          </cell>
          <cell r="AA15">
            <v>1.588246972404209</v>
          </cell>
        </row>
        <row r="16">
          <cell r="Q16">
            <v>0</v>
          </cell>
          <cell r="R16">
            <v>38138</v>
          </cell>
          <cell r="S16">
            <v>3</v>
          </cell>
          <cell r="T16">
            <v>0</v>
          </cell>
          <cell r="V16">
            <v>0</v>
          </cell>
          <cell r="W16">
            <v>0</v>
          </cell>
          <cell r="X16">
            <v>0</v>
          </cell>
          <cell r="Y16">
            <v>95</v>
          </cell>
          <cell r="Z16">
            <v>15.088346237839984</v>
          </cell>
          <cell r="AA16">
            <v>0</v>
          </cell>
        </row>
        <row r="17">
          <cell r="C17" t="str">
            <v>***TASKS FOR CURRENT WEEK</v>
          </cell>
          <cell r="Q17">
            <v>0</v>
          </cell>
          <cell r="R17">
            <v>38138</v>
          </cell>
          <cell r="S17">
            <v>3</v>
          </cell>
          <cell r="T17">
            <v>0</v>
          </cell>
          <cell r="V17">
            <v>0</v>
          </cell>
          <cell r="W17">
            <v>0</v>
          </cell>
          <cell r="X17">
            <v>0</v>
          </cell>
          <cell r="Y17">
            <v>95</v>
          </cell>
          <cell r="Z17">
            <v>15.088346237839984</v>
          </cell>
          <cell r="AA17">
            <v>0</v>
          </cell>
        </row>
        <row r="18">
          <cell r="A18" t="str">
            <v>TSP Tool Specification</v>
          </cell>
          <cell r="B18" t="str">
            <v>ST</v>
          </cell>
          <cell r="C18" t="str">
            <v>TSP Tool Specification Support comment period features</v>
          </cell>
          <cell r="K18" t="str">
            <v>jwo</v>
          </cell>
          <cell r="O18">
            <v>20</v>
          </cell>
          <cell r="P18">
            <v>1</v>
          </cell>
          <cell r="Q18">
            <v>20</v>
          </cell>
          <cell r="R18">
            <v>38145</v>
          </cell>
          <cell r="S18">
            <v>4</v>
          </cell>
          <cell r="T18">
            <v>0</v>
          </cell>
          <cell r="V18">
            <v>0</v>
          </cell>
          <cell r="W18">
            <v>0</v>
          </cell>
          <cell r="X18">
            <v>0</v>
          </cell>
          <cell r="Y18">
            <v>115</v>
          </cell>
          <cell r="Z18">
            <v>18.264840182648403</v>
          </cell>
          <cell r="AA18">
            <v>3.176493944808418</v>
          </cell>
          <cell r="AC18">
            <v>38152</v>
          </cell>
          <cell r="AD18">
            <v>38145</v>
          </cell>
        </row>
        <row r="19">
          <cell r="A19" t="str">
            <v>SYSTEM</v>
          </cell>
          <cell r="B19" t="str">
            <v>PLAN</v>
          </cell>
          <cell r="C19" t="str">
            <v>FY05-06 Program Plan Draft 4</v>
          </cell>
          <cell r="K19" t="str">
            <v>jwo</v>
          </cell>
          <cell r="O19">
            <v>20</v>
          </cell>
          <cell r="P19">
            <v>1</v>
          </cell>
          <cell r="Q19">
            <v>20</v>
          </cell>
          <cell r="R19">
            <v>38152</v>
          </cell>
          <cell r="S19">
            <v>5</v>
          </cell>
          <cell r="T19">
            <v>0</v>
          </cell>
          <cell r="V19">
            <v>0</v>
          </cell>
          <cell r="W19">
            <v>0</v>
          </cell>
          <cell r="X19">
            <v>0</v>
          </cell>
          <cell r="Y19">
            <v>135</v>
          </cell>
          <cell r="Z19">
            <v>21.44133412745682</v>
          </cell>
          <cell r="AA19">
            <v>3.176493944808418</v>
          </cell>
          <cell r="AC19">
            <v>38159</v>
          </cell>
          <cell r="AD19">
            <v>38152</v>
          </cell>
        </row>
        <row r="20">
          <cell r="Q20">
            <v>0</v>
          </cell>
          <cell r="R20">
            <v>38152</v>
          </cell>
          <cell r="S20">
            <v>5</v>
          </cell>
          <cell r="T20">
            <v>0</v>
          </cell>
          <cell r="V20">
            <v>0</v>
          </cell>
          <cell r="W20">
            <v>0</v>
          </cell>
          <cell r="X20">
            <v>0</v>
          </cell>
          <cell r="Y20">
            <v>135</v>
          </cell>
          <cell r="Z20">
            <v>21.44133412745682</v>
          </cell>
          <cell r="AA20">
            <v>0</v>
          </cell>
        </row>
        <row r="21">
          <cell r="A21" t="str">
            <v>TSP Tool Support</v>
          </cell>
          <cell r="B21" t="str">
            <v>PLAN</v>
          </cell>
          <cell r="C21" t="str">
            <v>Plan update STUWBK for new PSP</v>
          </cell>
          <cell r="K21" t="str">
            <v>jwo</v>
          </cell>
          <cell r="O21">
            <v>3</v>
          </cell>
          <cell r="P21">
            <v>1</v>
          </cell>
          <cell r="Q21">
            <v>3</v>
          </cell>
          <cell r="R21">
            <v>38152</v>
          </cell>
          <cell r="S21">
            <v>5</v>
          </cell>
          <cell r="T21">
            <v>1</v>
          </cell>
          <cell r="U21">
            <v>38151</v>
          </cell>
          <cell r="V21">
            <v>4</v>
          </cell>
          <cell r="W21">
            <v>0.4764740917212627</v>
          </cell>
          <cell r="X21">
            <v>0</v>
          </cell>
          <cell r="Y21">
            <v>138</v>
          </cell>
          <cell r="Z21">
            <v>21.917808219178081</v>
          </cell>
          <cell r="AA21">
            <v>0.4764740917212627</v>
          </cell>
        </row>
        <row r="22">
          <cell r="A22" t="str">
            <v>TSP Tool Support</v>
          </cell>
          <cell r="B22" t="str">
            <v>DLD</v>
          </cell>
          <cell r="C22" t="str">
            <v>DLD update STUWBK for new PSP</v>
          </cell>
          <cell r="K22" t="str">
            <v>jwo</v>
          </cell>
          <cell r="O22">
            <v>2</v>
          </cell>
          <cell r="P22">
            <v>1</v>
          </cell>
          <cell r="Q22">
            <v>2</v>
          </cell>
          <cell r="R22">
            <v>38152</v>
          </cell>
          <cell r="S22">
            <v>5</v>
          </cell>
          <cell r="T22">
            <v>2.6947222222222211</v>
          </cell>
          <cell r="V22">
            <v>0</v>
          </cell>
          <cell r="W22">
            <v>0</v>
          </cell>
          <cell r="X22">
            <v>0</v>
          </cell>
          <cell r="Y22">
            <v>140</v>
          </cell>
          <cell r="Z22">
            <v>22.235457613658923</v>
          </cell>
          <cell r="AA22">
            <v>0.31764939448084173</v>
          </cell>
          <cell r="AC22">
            <v>38159</v>
          </cell>
          <cell r="AD22">
            <v>38152</v>
          </cell>
        </row>
        <row r="23">
          <cell r="A23" t="str">
            <v>TSP Tool Support</v>
          </cell>
          <cell r="B23" t="str">
            <v>DLDR</v>
          </cell>
          <cell r="C23" t="str">
            <v>DLDR update STUWBK for new PSP</v>
          </cell>
          <cell r="K23" t="str">
            <v>jwo</v>
          </cell>
          <cell r="O23">
            <v>1</v>
          </cell>
          <cell r="P23">
            <v>1</v>
          </cell>
          <cell r="Q23">
            <v>1</v>
          </cell>
          <cell r="R23">
            <v>38152</v>
          </cell>
          <cell r="S23">
            <v>5</v>
          </cell>
          <cell r="T23">
            <v>0</v>
          </cell>
          <cell r="V23">
            <v>0</v>
          </cell>
          <cell r="W23">
            <v>0</v>
          </cell>
          <cell r="X23">
            <v>0</v>
          </cell>
          <cell r="Y23">
            <v>141</v>
          </cell>
          <cell r="Z23">
            <v>22.394282310899342</v>
          </cell>
          <cell r="AA23">
            <v>0.15882469724042086</v>
          </cell>
          <cell r="AC23">
            <v>38159</v>
          </cell>
          <cell r="AD23">
            <v>38152</v>
          </cell>
        </row>
        <row r="24">
          <cell r="A24" t="str">
            <v>TSP Tool Support</v>
          </cell>
          <cell r="B24" t="str">
            <v>CODE</v>
          </cell>
          <cell r="C24" t="str">
            <v>Code update STUWBK for new PSP</v>
          </cell>
          <cell r="K24" t="str">
            <v>jwo</v>
          </cell>
          <cell r="O24">
            <v>10</v>
          </cell>
          <cell r="P24">
            <v>1</v>
          </cell>
          <cell r="Q24">
            <v>10</v>
          </cell>
          <cell r="R24">
            <v>38152</v>
          </cell>
          <cell r="S24">
            <v>5</v>
          </cell>
          <cell r="T24">
            <v>5.9477777777777803</v>
          </cell>
          <cell r="U24">
            <v>38154</v>
          </cell>
          <cell r="V24">
            <v>5</v>
          </cell>
          <cell r="W24">
            <v>1.588246972404209</v>
          </cell>
          <cell r="X24">
            <v>0</v>
          </cell>
          <cell r="Y24">
            <v>151</v>
          </cell>
          <cell r="Z24">
            <v>23.982529283303553</v>
          </cell>
          <cell r="AA24">
            <v>1.588246972404209</v>
          </cell>
        </row>
        <row r="25">
          <cell r="A25" t="str">
            <v>TSP Tool Support</v>
          </cell>
          <cell r="B25" t="str">
            <v>CR</v>
          </cell>
          <cell r="C25" t="str">
            <v>CR update STUWBK for new PSP</v>
          </cell>
          <cell r="K25" t="str">
            <v>jwo</v>
          </cell>
          <cell r="O25">
            <v>5</v>
          </cell>
          <cell r="P25">
            <v>1</v>
          </cell>
          <cell r="Q25">
            <v>5</v>
          </cell>
          <cell r="R25">
            <v>38152</v>
          </cell>
          <cell r="S25">
            <v>5</v>
          </cell>
          <cell r="T25">
            <v>2.9222222222222225</v>
          </cell>
          <cell r="V25">
            <v>0</v>
          </cell>
          <cell r="W25">
            <v>0</v>
          </cell>
          <cell r="X25">
            <v>0</v>
          </cell>
          <cell r="Y25">
            <v>156</v>
          </cell>
          <cell r="Z25">
            <v>24.776652769505656</v>
          </cell>
          <cell r="AA25">
            <v>0.79412348620210449</v>
          </cell>
          <cell r="AC25">
            <v>38166</v>
          </cell>
          <cell r="AD25">
            <v>38152</v>
          </cell>
        </row>
        <row r="26">
          <cell r="A26" t="str">
            <v>TSP Tool Support</v>
          </cell>
          <cell r="B26" t="str">
            <v>UT</v>
          </cell>
          <cell r="C26" t="str">
            <v>UT STUWBK for new PSP</v>
          </cell>
          <cell r="K26" t="str">
            <v>jwo</v>
          </cell>
          <cell r="O26">
            <v>6</v>
          </cell>
          <cell r="P26">
            <v>1</v>
          </cell>
          <cell r="Q26">
            <v>6</v>
          </cell>
          <cell r="R26">
            <v>38159</v>
          </cell>
          <cell r="S26">
            <v>6</v>
          </cell>
          <cell r="T26">
            <v>0.75777777777777855</v>
          </cell>
          <cell r="V26">
            <v>0</v>
          </cell>
          <cell r="W26">
            <v>0</v>
          </cell>
          <cell r="X26">
            <v>0</v>
          </cell>
          <cell r="Y26">
            <v>162</v>
          </cell>
          <cell r="Z26">
            <v>25.729600952948182</v>
          </cell>
          <cell r="AA26">
            <v>0.95294818344252541</v>
          </cell>
          <cell r="AC26">
            <v>38166</v>
          </cell>
          <cell r="AD26">
            <v>38159</v>
          </cell>
        </row>
        <row r="27">
          <cell r="A27" t="str">
            <v>TSP Tool Support</v>
          </cell>
          <cell r="B27" t="str">
            <v>PM</v>
          </cell>
          <cell r="C27" t="str">
            <v>PM STUWBK for new PSP</v>
          </cell>
          <cell r="K27" t="str">
            <v>jwo</v>
          </cell>
          <cell r="O27">
            <v>3</v>
          </cell>
          <cell r="P27">
            <v>1</v>
          </cell>
          <cell r="Q27">
            <v>3</v>
          </cell>
          <cell r="R27">
            <v>38159</v>
          </cell>
          <cell r="S27">
            <v>6</v>
          </cell>
          <cell r="T27">
            <v>0</v>
          </cell>
          <cell r="V27">
            <v>0</v>
          </cell>
          <cell r="W27">
            <v>0</v>
          </cell>
          <cell r="X27">
            <v>0</v>
          </cell>
          <cell r="Y27">
            <v>165</v>
          </cell>
          <cell r="Z27">
            <v>26.206075044669443</v>
          </cell>
          <cell r="AA27">
            <v>0.4764740917212627</v>
          </cell>
          <cell r="AC27">
            <v>38166</v>
          </cell>
          <cell r="AD27">
            <v>38159</v>
          </cell>
        </row>
        <row r="28">
          <cell r="Q28">
            <v>0</v>
          </cell>
          <cell r="R28">
            <v>38159</v>
          </cell>
          <cell r="S28">
            <v>6</v>
          </cell>
          <cell r="T28">
            <v>0</v>
          </cell>
          <cell r="V28">
            <v>0</v>
          </cell>
          <cell r="W28">
            <v>0</v>
          </cell>
          <cell r="X28">
            <v>0</v>
          </cell>
          <cell r="Y28">
            <v>165</v>
          </cell>
          <cell r="Z28">
            <v>26.206075044669443</v>
          </cell>
          <cell r="AA28">
            <v>0</v>
          </cell>
        </row>
        <row r="29">
          <cell r="A29" t="str">
            <v>TSP Tool Support</v>
          </cell>
          <cell r="B29" t="str">
            <v>CODE</v>
          </cell>
          <cell r="C29" t="str">
            <v>TSP Tool Support v200406xx</v>
          </cell>
          <cell r="K29" t="str">
            <v>jwo</v>
          </cell>
          <cell r="O29">
            <v>12</v>
          </cell>
          <cell r="P29">
            <v>1</v>
          </cell>
          <cell r="Q29">
            <v>12</v>
          </cell>
          <cell r="R29">
            <v>38159</v>
          </cell>
          <cell r="S29">
            <v>6</v>
          </cell>
          <cell r="T29">
            <v>1.7772222222222243</v>
          </cell>
          <cell r="V29">
            <v>0</v>
          </cell>
          <cell r="W29">
            <v>0</v>
          </cell>
          <cell r="X29">
            <v>0</v>
          </cell>
          <cell r="Y29">
            <v>177</v>
          </cell>
          <cell r="Z29">
            <v>28.111971411554496</v>
          </cell>
          <cell r="AA29">
            <v>1.9058963668850508</v>
          </cell>
          <cell r="AC29">
            <v>38173</v>
          </cell>
          <cell r="AD29">
            <v>38159</v>
          </cell>
        </row>
        <row r="30">
          <cell r="Q30">
            <v>0</v>
          </cell>
          <cell r="R30">
            <v>38159</v>
          </cell>
          <cell r="S30">
            <v>6</v>
          </cell>
          <cell r="T30">
            <v>0</v>
          </cell>
          <cell r="V30">
            <v>0</v>
          </cell>
          <cell r="W30">
            <v>0</v>
          </cell>
          <cell r="X30">
            <v>0</v>
          </cell>
          <cell r="Y30">
            <v>177</v>
          </cell>
          <cell r="Z30">
            <v>28.111971411554496</v>
          </cell>
          <cell r="AA30">
            <v>0</v>
          </cell>
        </row>
        <row r="31">
          <cell r="C31" t="str">
            <v>***Tool Spec</v>
          </cell>
          <cell r="Q31">
            <v>0</v>
          </cell>
          <cell r="R31">
            <v>38159</v>
          </cell>
          <cell r="S31">
            <v>6</v>
          </cell>
          <cell r="T31">
            <v>0</v>
          </cell>
          <cell r="V31">
            <v>0</v>
          </cell>
          <cell r="W31">
            <v>0</v>
          </cell>
          <cell r="X31">
            <v>0</v>
          </cell>
          <cell r="Y31">
            <v>177</v>
          </cell>
          <cell r="Z31">
            <v>28.111971411554496</v>
          </cell>
          <cell r="AA31">
            <v>0</v>
          </cell>
        </row>
        <row r="32">
          <cell r="A32" t="str">
            <v>TSP Tool Specification</v>
          </cell>
          <cell r="B32" t="str">
            <v>CODE</v>
          </cell>
          <cell r="C32" t="str">
            <v>Sect-Historical Data (ER) CODE</v>
          </cell>
          <cell r="K32" t="str">
            <v>jwo</v>
          </cell>
          <cell r="L32">
            <v>2</v>
          </cell>
          <cell r="M32" t="str">
            <v>pgs</v>
          </cell>
          <cell r="N32">
            <v>2</v>
          </cell>
          <cell r="O32">
            <v>1</v>
          </cell>
          <cell r="P32">
            <v>1</v>
          </cell>
          <cell r="Q32">
            <v>1</v>
          </cell>
          <cell r="R32">
            <v>38159</v>
          </cell>
          <cell r="S32">
            <v>6</v>
          </cell>
          <cell r="T32">
            <v>0</v>
          </cell>
          <cell r="V32">
            <v>0</v>
          </cell>
          <cell r="W32">
            <v>0</v>
          </cell>
          <cell r="X32">
            <v>0</v>
          </cell>
          <cell r="Y32">
            <v>178</v>
          </cell>
          <cell r="Z32">
            <v>28.270796108794915</v>
          </cell>
          <cell r="AA32">
            <v>0.15882469724042086</v>
          </cell>
          <cell r="AC32">
            <v>38173</v>
          </cell>
          <cell r="AD32">
            <v>38159</v>
          </cell>
        </row>
        <row r="33">
          <cell r="A33" t="str">
            <v>TSP Tool Specification</v>
          </cell>
          <cell r="B33" t="str">
            <v>CR</v>
          </cell>
          <cell r="C33" t="str">
            <v>Sect-Historical Data (ER) CR</v>
          </cell>
          <cell r="K33" t="str">
            <v>jwo</v>
          </cell>
          <cell r="L33">
            <v>2</v>
          </cell>
          <cell r="M33" t="str">
            <v>pgs</v>
          </cell>
          <cell r="N33">
            <v>4</v>
          </cell>
          <cell r="O33">
            <v>0.5</v>
          </cell>
          <cell r="P33">
            <v>1</v>
          </cell>
          <cell r="Q33">
            <v>0.5</v>
          </cell>
          <cell r="R33">
            <v>38159</v>
          </cell>
          <cell r="S33">
            <v>6</v>
          </cell>
          <cell r="T33">
            <v>0</v>
          </cell>
          <cell r="V33">
            <v>0</v>
          </cell>
          <cell r="W33">
            <v>0</v>
          </cell>
          <cell r="X33">
            <v>0</v>
          </cell>
          <cell r="Y33">
            <v>178.5</v>
          </cell>
          <cell r="Z33">
            <v>28.350208457415125</v>
          </cell>
          <cell r="AA33">
            <v>7.9412348620210432E-2</v>
          </cell>
          <cell r="AC33">
            <v>38173</v>
          </cell>
          <cell r="AD33">
            <v>38159</v>
          </cell>
        </row>
        <row r="34">
          <cell r="A34" t="str">
            <v>TSP Tool Specification</v>
          </cell>
          <cell r="B34" t="str">
            <v>CODE</v>
          </cell>
          <cell r="C34" t="str">
            <v>Sect-Data Interchange Standard (XML) CODE</v>
          </cell>
          <cell r="K34" t="str">
            <v>jwo</v>
          </cell>
          <cell r="L34">
            <v>30</v>
          </cell>
          <cell r="M34" t="str">
            <v>DBOBJ</v>
          </cell>
          <cell r="N34">
            <v>30</v>
          </cell>
          <cell r="O34">
            <v>1</v>
          </cell>
          <cell r="P34">
            <v>1</v>
          </cell>
          <cell r="Q34">
            <v>1</v>
          </cell>
          <cell r="R34">
            <v>38159</v>
          </cell>
          <cell r="S34">
            <v>6</v>
          </cell>
          <cell r="T34">
            <v>0</v>
          </cell>
          <cell r="V34">
            <v>0</v>
          </cell>
          <cell r="W34">
            <v>0</v>
          </cell>
          <cell r="X34">
            <v>0</v>
          </cell>
          <cell r="Y34">
            <v>179.5</v>
          </cell>
          <cell r="Z34">
            <v>28.509033154655544</v>
          </cell>
          <cell r="AA34">
            <v>0.15882469724042086</v>
          </cell>
          <cell r="AC34">
            <v>38173</v>
          </cell>
          <cell r="AD34">
            <v>38159</v>
          </cell>
        </row>
        <row r="35">
          <cell r="A35" t="str">
            <v>TSP Tool Specification</v>
          </cell>
          <cell r="B35" t="str">
            <v>CR</v>
          </cell>
          <cell r="C35" t="str">
            <v>Sect-Data Interchange Standard (XML) CR</v>
          </cell>
          <cell r="K35" t="str">
            <v>jwo</v>
          </cell>
          <cell r="L35">
            <v>30</v>
          </cell>
          <cell r="M35" t="str">
            <v>DBOBJ</v>
          </cell>
          <cell r="N35">
            <v>0</v>
          </cell>
          <cell r="O35">
            <v>1</v>
          </cell>
          <cell r="P35">
            <v>1</v>
          </cell>
          <cell r="Q35">
            <v>1</v>
          </cell>
          <cell r="R35">
            <v>38159</v>
          </cell>
          <cell r="S35">
            <v>6</v>
          </cell>
          <cell r="T35">
            <v>0</v>
          </cell>
          <cell r="V35">
            <v>0</v>
          </cell>
          <cell r="W35">
            <v>0</v>
          </cell>
          <cell r="X35">
            <v>0</v>
          </cell>
          <cell r="Y35">
            <v>180.5</v>
          </cell>
          <cell r="Z35">
            <v>28.667857851895963</v>
          </cell>
          <cell r="AA35">
            <v>0.15882469724042086</v>
          </cell>
          <cell r="AC35">
            <v>38173</v>
          </cell>
          <cell r="AD35">
            <v>38159</v>
          </cell>
        </row>
        <row r="36">
          <cell r="A36" t="str">
            <v>TSP Tool Specification</v>
          </cell>
          <cell r="B36" t="str">
            <v>CR</v>
          </cell>
          <cell r="C36" t="str">
            <v>#M Tool Spec core drafted 1/26/04</v>
          </cell>
          <cell r="K36" t="str">
            <v>jwo</v>
          </cell>
          <cell r="Q36">
            <v>0</v>
          </cell>
          <cell r="R36">
            <v>38159</v>
          </cell>
          <cell r="S36">
            <v>6</v>
          </cell>
          <cell r="T36">
            <v>0</v>
          </cell>
          <cell r="V36">
            <v>0</v>
          </cell>
          <cell r="W36">
            <v>0</v>
          </cell>
          <cell r="X36">
            <v>0</v>
          </cell>
          <cell r="Y36">
            <v>180.5</v>
          </cell>
          <cell r="Z36">
            <v>28.667857851895963</v>
          </cell>
          <cell r="AA36">
            <v>0</v>
          </cell>
          <cell r="AC36">
            <v>38173</v>
          </cell>
          <cell r="AD36">
            <v>38159</v>
          </cell>
        </row>
        <row r="37">
          <cell r="A37" t="str">
            <v>TSP Tool Specification</v>
          </cell>
          <cell r="B37" t="str">
            <v>CODEINSP</v>
          </cell>
          <cell r="C37" t="str">
            <v>Sect-Conceptual Design CODEINSP</v>
          </cell>
          <cell r="L37">
            <v>4</v>
          </cell>
          <cell r="M37" t="str">
            <v>pgs</v>
          </cell>
          <cell r="N37">
            <v>4</v>
          </cell>
          <cell r="O37">
            <v>1</v>
          </cell>
          <cell r="P37">
            <v>1</v>
          </cell>
          <cell r="Q37">
            <v>1</v>
          </cell>
          <cell r="R37">
            <v>38159</v>
          </cell>
          <cell r="S37">
            <v>6</v>
          </cell>
          <cell r="T37">
            <v>0</v>
          </cell>
          <cell r="V37">
            <v>0</v>
          </cell>
          <cell r="W37">
            <v>0</v>
          </cell>
          <cell r="X37">
            <v>0</v>
          </cell>
          <cell r="Y37">
            <v>181.5</v>
          </cell>
          <cell r="Z37">
            <v>28.826682549136383</v>
          </cell>
          <cell r="AA37">
            <v>0.15882469724042086</v>
          </cell>
          <cell r="AC37">
            <v>38173</v>
          </cell>
          <cell r="AD37">
            <v>38159</v>
          </cell>
        </row>
        <row r="38">
          <cell r="A38" t="str">
            <v>TSP Tool Specification</v>
          </cell>
          <cell r="B38" t="str">
            <v>UT</v>
          </cell>
          <cell r="C38" t="str">
            <v>Sect-Conceptual Design UT</v>
          </cell>
          <cell r="K38" t="str">
            <v>jwo</v>
          </cell>
          <cell r="L38">
            <v>4</v>
          </cell>
          <cell r="M38" t="str">
            <v>pgs</v>
          </cell>
          <cell r="N38">
            <v>4</v>
          </cell>
          <cell r="O38">
            <v>1</v>
          </cell>
          <cell r="P38">
            <v>1</v>
          </cell>
          <cell r="Q38">
            <v>1</v>
          </cell>
          <cell r="R38">
            <v>38159</v>
          </cell>
          <cell r="S38">
            <v>6</v>
          </cell>
          <cell r="T38">
            <v>0</v>
          </cell>
          <cell r="V38">
            <v>0</v>
          </cell>
          <cell r="W38">
            <v>0</v>
          </cell>
          <cell r="X38">
            <v>0</v>
          </cell>
          <cell r="Y38">
            <v>182.5</v>
          </cell>
          <cell r="Z38">
            <v>28.985507246376802</v>
          </cell>
          <cell r="AA38">
            <v>0.15882469724042086</v>
          </cell>
          <cell r="AC38">
            <v>38173</v>
          </cell>
          <cell r="AD38">
            <v>38159</v>
          </cell>
        </row>
        <row r="39">
          <cell r="A39" t="str">
            <v>TSP Tool Specification</v>
          </cell>
          <cell r="B39" t="str">
            <v>CODEINSP</v>
          </cell>
          <cell r="C39" t="str">
            <v>Sect-Process Support Scenarios CODEINSP</v>
          </cell>
          <cell r="L39">
            <v>20</v>
          </cell>
          <cell r="M39" t="str">
            <v>pgs</v>
          </cell>
          <cell r="N39">
            <v>4</v>
          </cell>
          <cell r="O39">
            <v>5</v>
          </cell>
          <cell r="P39">
            <v>1</v>
          </cell>
          <cell r="Q39">
            <v>5</v>
          </cell>
          <cell r="R39">
            <v>38159</v>
          </cell>
          <cell r="S39">
            <v>6</v>
          </cell>
          <cell r="T39">
            <v>0</v>
          </cell>
          <cell r="V39">
            <v>0</v>
          </cell>
          <cell r="W39">
            <v>0</v>
          </cell>
          <cell r="X39">
            <v>0</v>
          </cell>
          <cell r="Y39">
            <v>187.5</v>
          </cell>
          <cell r="Z39">
            <v>29.779630732578905</v>
          </cell>
          <cell r="AA39">
            <v>0.79412348620210449</v>
          </cell>
          <cell r="AC39">
            <v>38173</v>
          </cell>
          <cell r="AD39">
            <v>38159</v>
          </cell>
        </row>
        <row r="40">
          <cell r="A40" t="str">
            <v>TSP Tool Specification</v>
          </cell>
          <cell r="B40" t="str">
            <v>UT</v>
          </cell>
          <cell r="C40" t="str">
            <v>Sect-Process Support Scenarios UT</v>
          </cell>
          <cell r="K40" t="str">
            <v>jwo</v>
          </cell>
          <cell r="L40">
            <v>20</v>
          </cell>
          <cell r="M40" t="str">
            <v>pgs</v>
          </cell>
          <cell r="N40">
            <v>4</v>
          </cell>
          <cell r="O40">
            <v>5</v>
          </cell>
          <cell r="P40">
            <v>1</v>
          </cell>
          <cell r="Q40">
            <v>5</v>
          </cell>
          <cell r="R40">
            <v>38166</v>
          </cell>
          <cell r="S40">
            <v>7</v>
          </cell>
          <cell r="T40">
            <v>0</v>
          </cell>
          <cell r="V40">
            <v>0</v>
          </cell>
          <cell r="W40">
            <v>0</v>
          </cell>
          <cell r="X40">
            <v>0</v>
          </cell>
          <cell r="Y40">
            <v>192.5</v>
          </cell>
          <cell r="Z40">
            <v>30.573754218781009</v>
          </cell>
          <cell r="AA40">
            <v>0.79412348620210449</v>
          </cell>
          <cell r="AC40">
            <v>38180</v>
          </cell>
          <cell r="AD40">
            <v>38166</v>
          </cell>
        </row>
        <row r="41">
          <cell r="A41" t="str">
            <v>TSP Tool Specification</v>
          </cell>
          <cell r="B41" t="str">
            <v>CODEINSP</v>
          </cell>
          <cell r="C41" t="str">
            <v>Sect-Domain model + FSTs CODEINSP</v>
          </cell>
          <cell r="L41">
            <v>20</v>
          </cell>
          <cell r="M41" t="str">
            <v>pgs</v>
          </cell>
          <cell r="N41">
            <v>4</v>
          </cell>
          <cell r="O41">
            <v>5</v>
          </cell>
          <cell r="P41">
            <v>1</v>
          </cell>
          <cell r="Q41">
            <v>5</v>
          </cell>
          <cell r="R41">
            <v>38166</v>
          </cell>
          <cell r="S41">
            <v>7</v>
          </cell>
          <cell r="T41">
            <v>0</v>
          </cell>
          <cell r="V41">
            <v>0</v>
          </cell>
          <cell r="W41">
            <v>0</v>
          </cell>
          <cell r="X41">
            <v>0</v>
          </cell>
          <cell r="Y41">
            <v>197.5</v>
          </cell>
          <cell r="Z41">
            <v>31.367877704983112</v>
          </cell>
          <cell r="AA41">
            <v>0.79412348620210449</v>
          </cell>
          <cell r="AC41">
            <v>38180</v>
          </cell>
          <cell r="AD41">
            <v>38166</v>
          </cell>
        </row>
        <row r="42">
          <cell r="A42" t="str">
            <v>TSP Tool Specification</v>
          </cell>
          <cell r="B42" t="str">
            <v>UT</v>
          </cell>
          <cell r="C42" t="str">
            <v>Sect-Domain model + FSTs UT</v>
          </cell>
          <cell r="K42" t="str">
            <v>jwo</v>
          </cell>
          <cell r="L42">
            <v>20</v>
          </cell>
          <cell r="M42" t="str">
            <v>pgs</v>
          </cell>
          <cell r="N42">
            <v>4</v>
          </cell>
          <cell r="O42">
            <v>5</v>
          </cell>
          <cell r="P42">
            <v>1</v>
          </cell>
          <cell r="Q42">
            <v>5</v>
          </cell>
          <cell r="R42">
            <v>38166</v>
          </cell>
          <cell r="S42">
            <v>7</v>
          </cell>
          <cell r="T42">
            <v>0</v>
          </cell>
          <cell r="V42">
            <v>0</v>
          </cell>
          <cell r="W42">
            <v>0</v>
          </cell>
          <cell r="X42">
            <v>0</v>
          </cell>
          <cell r="Y42">
            <v>202.5</v>
          </cell>
          <cell r="Z42">
            <v>32.162001191185219</v>
          </cell>
          <cell r="AA42">
            <v>0.79412348620210449</v>
          </cell>
          <cell r="AC42">
            <v>38180</v>
          </cell>
          <cell r="AD42">
            <v>38166</v>
          </cell>
        </row>
        <row r="43">
          <cell r="A43" t="str">
            <v>TSP Tool Specification</v>
          </cell>
          <cell r="B43" t="str">
            <v>CODEINSP</v>
          </cell>
          <cell r="C43" t="str">
            <v>Sect-Forms, Charts, Measures (FSTs) CODEINSP</v>
          </cell>
          <cell r="L43">
            <v>30</v>
          </cell>
          <cell r="M43" t="str">
            <v>pgs</v>
          </cell>
          <cell r="N43">
            <v>4</v>
          </cell>
          <cell r="O43">
            <v>7.5</v>
          </cell>
          <cell r="P43">
            <v>1</v>
          </cell>
          <cell r="Q43">
            <v>7.5</v>
          </cell>
          <cell r="R43">
            <v>38166</v>
          </cell>
          <cell r="S43">
            <v>7</v>
          </cell>
          <cell r="T43">
            <v>0</v>
          </cell>
          <cell r="V43">
            <v>0</v>
          </cell>
          <cell r="W43">
            <v>0</v>
          </cell>
          <cell r="X43">
            <v>0</v>
          </cell>
          <cell r="Y43">
            <v>210</v>
          </cell>
          <cell r="Z43">
            <v>33.353186420488377</v>
          </cell>
          <cell r="AA43">
            <v>1.1911852293031566</v>
          </cell>
          <cell r="AC43">
            <v>38180</v>
          </cell>
          <cell r="AD43">
            <v>38166</v>
          </cell>
        </row>
        <row r="44">
          <cell r="A44" t="str">
            <v>TSP Tool Specification</v>
          </cell>
          <cell r="B44" t="str">
            <v>UT</v>
          </cell>
          <cell r="C44" t="str">
            <v>Sect-Forms, Charts, Measures (FSTs) UT</v>
          </cell>
          <cell r="K44" t="str">
            <v>jwo</v>
          </cell>
          <cell r="L44">
            <v>30</v>
          </cell>
          <cell r="M44" t="str">
            <v>pgs</v>
          </cell>
          <cell r="N44">
            <v>4</v>
          </cell>
          <cell r="O44">
            <v>7.5</v>
          </cell>
          <cell r="P44">
            <v>1</v>
          </cell>
          <cell r="Q44">
            <v>7.5</v>
          </cell>
          <cell r="R44">
            <v>38166</v>
          </cell>
          <cell r="S44">
            <v>7</v>
          </cell>
          <cell r="T44">
            <v>0</v>
          </cell>
          <cell r="V44">
            <v>0</v>
          </cell>
          <cell r="W44">
            <v>0</v>
          </cell>
          <cell r="X44">
            <v>0</v>
          </cell>
          <cell r="Y44">
            <v>217.5</v>
          </cell>
          <cell r="Z44">
            <v>34.544371649791536</v>
          </cell>
          <cell r="AA44">
            <v>1.1911852293031566</v>
          </cell>
          <cell r="AC44">
            <v>38187</v>
          </cell>
          <cell r="AD44">
            <v>38166</v>
          </cell>
        </row>
        <row r="45">
          <cell r="A45" t="str">
            <v>TSP Tool Specification</v>
          </cell>
          <cell r="B45" t="str">
            <v>CODEINSP</v>
          </cell>
          <cell r="C45" t="str">
            <v>Sect-Historical Data (ER) CODEINSP</v>
          </cell>
          <cell r="L45">
            <v>2</v>
          </cell>
          <cell r="M45" t="str">
            <v>pgs</v>
          </cell>
          <cell r="N45">
            <v>4</v>
          </cell>
          <cell r="O45">
            <v>0.5</v>
          </cell>
          <cell r="P45">
            <v>1</v>
          </cell>
          <cell r="Q45">
            <v>0.5</v>
          </cell>
          <cell r="R45">
            <v>38166</v>
          </cell>
          <cell r="S45">
            <v>7</v>
          </cell>
          <cell r="T45">
            <v>0</v>
          </cell>
          <cell r="V45">
            <v>0</v>
          </cell>
          <cell r="W45">
            <v>0</v>
          </cell>
          <cell r="X45">
            <v>0</v>
          </cell>
          <cell r="Y45">
            <v>218</v>
          </cell>
          <cell r="Z45">
            <v>34.623783998411746</v>
          </cell>
          <cell r="AA45">
            <v>7.9412348620210432E-2</v>
          </cell>
          <cell r="AC45">
            <v>38187</v>
          </cell>
          <cell r="AD45">
            <v>38166</v>
          </cell>
        </row>
        <row r="46">
          <cell r="A46" t="str">
            <v>TSP Tool Specification</v>
          </cell>
          <cell r="B46" t="str">
            <v>UT</v>
          </cell>
          <cell r="C46" t="str">
            <v>Sect-Historical Data (ER) UT</v>
          </cell>
          <cell r="K46" t="str">
            <v>jwo</v>
          </cell>
          <cell r="L46">
            <v>2</v>
          </cell>
          <cell r="M46" t="str">
            <v>pgs</v>
          </cell>
          <cell r="N46">
            <v>4</v>
          </cell>
          <cell r="O46">
            <v>0.5</v>
          </cell>
          <cell r="P46">
            <v>1</v>
          </cell>
          <cell r="Q46">
            <v>0.5</v>
          </cell>
          <cell r="R46">
            <v>38166</v>
          </cell>
          <cell r="S46">
            <v>7</v>
          </cell>
          <cell r="T46">
            <v>0</v>
          </cell>
          <cell r="V46">
            <v>0</v>
          </cell>
          <cell r="W46">
            <v>0</v>
          </cell>
          <cell r="X46">
            <v>0</v>
          </cell>
          <cell r="Y46">
            <v>218.5</v>
          </cell>
          <cell r="Z46">
            <v>34.703196347031955</v>
          </cell>
          <cell r="AA46">
            <v>7.9412348620210432E-2</v>
          </cell>
          <cell r="AC46">
            <v>38187</v>
          </cell>
          <cell r="AD46">
            <v>38166</v>
          </cell>
        </row>
        <row r="47">
          <cell r="A47" t="str">
            <v>TSP Tool Specification</v>
          </cell>
          <cell r="B47" t="str">
            <v>CODEINSP</v>
          </cell>
          <cell r="C47" t="str">
            <v>Sect-Data Interchange Standard (XML) CODEINSP</v>
          </cell>
          <cell r="L47">
            <v>30</v>
          </cell>
          <cell r="M47" t="str">
            <v>DBOBJ</v>
          </cell>
          <cell r="N47">
            <v>0</v>
          </cell>
          <cell r="O47">
            <v>1</v>
          </cell>
          <cell r="P47">
            <v>1</v>
          </cell>
          <cell r="Q47">
            <v>1</v>
          </cell>
          <cell r="R47">
            <v>38166</v>
          </cell>
          <cell r="S47">
            <v>7</v>
          </cell>
          <cell r="T47">
            <v>0</v>
          </cell>
          <cell r="V47">
            <v>0</v>
          </cell>
          <cell r="W47">
            <v>0</v>
          </cell>
          <cell r="X47">
            <v>0</v>
          </cell>
          <cell r="Y47">
            <v>219.5</v>
          </cell>
          <cell r="Z47">
            <v>34.862021044272375</v>
          </cell>
          <cell r="AA47">
            <v>0.15882469724042086</v>
          </cell>
          <cell r="AC47">
            <v>38194</v>
          </cell>
          <cell r="AD47">
            <v>38166</v>
          </cell>
        </row>
        <row r="48">
          <cell r="A48" t="str">
            <v>TSP Tool Specification</v>
          </cell>
          <cell r="B48" t="str">
            <v>UT</v>
          </cell>
          <cell r="C48" t="str">
            <v>Sect-Data Interchange Standard (XML) UT</v>
          </cell>
          <cell r="K48" t="str">
            <v>jwo</v>
          </cell>
          <cell r="L48">
            <v>30</v>
          </cell>
          <cell r="M48" t="str">
            <v>DBOBJ</v>
          </cell>
          <cell r="N48">
            <v>4</v>
          </cell>
          <cell r="O48">
            <v>7.5</v>
          </cell>
          <cell r="P48">
            <v>1</v>
          </cell>
          <cell r="Q48">
            <v>7.5</v>
          </cell>
          <cell r="R48">
            <v>38173</v>
          </cell>
          <cell r="S48">
            <v>8</v>
          </cell>
          <cell r="T48">
            <v>0</v>
          </cell>
          <cell r="V48">
            <v>0</v>
          </cell>
          <cell r="W48">
            <v>0</v>
          </cell>
          <cell r="X48">
            <v>0</v>
          </cell>
          <cell r="Y48">
            <v>227</v>
          </cell>
          <cell r="Z48">
            <v>36.053206273575533</v>
          </cell>
          <cell r="AA48">
            <v>1.1911852293031566</v>
          </cell>
          <cell r="AC48">
            <v>38201</v>
          </cell>
          <cell r="AD48">
            <v>38173</v>
          </cell>
        </row>
        <row r="49">
          <cell r="A49" t="str">
            <v>TSP Tool Prototype</v>
          </cell>
          <cell r="B49" t="str">
            <v>TD</v>
          </cell>
          <cell r="C49" t="str">
            <v>TSP Tool Prototype TD v200401</v>
          </cell>
          <cell r="K49" t="str">
            <v>jwo</v>
          </cell>
          <cell r="L49">
            <v>610</v>
          </cell>
          <cell r="M49" t="str">
            <v>dbobj</v>
          </cell>
          <cell r="P49">
            <v>1</v>
          </cell>
          <cell r="Q49">
            <v>0</v>
          </cell>
          <cell r="R49">
            <v>38173</v>
          </cell>
          <cell r="S49">
            <v>8</v>
          </cell>
          <cell r="T49">
            <v>0</v>
          </cell>
          <cell r="V49">
            <v>0</v>
          </cell>
          <cell r="W49">
            <v>0</v>
          </cell>
          <cell r="X49">
            <v>0</v>
          </cell>
          <cell r="Y49">
            <v>227</v>
          </cell>
          <cell r="Z49">
            <v>36.053206273575533</v>
          </cell>
          <cell r="AA49">
            <v>0</v>
          </cell>
          <cell r="AC49">
            <v>38201</v>
          </cell>
          <cell r="AD49">
            <v>38173</v>
          </cell>
        </row>
        <row r="50">
          <cell r="A50" t="str">
            <v>TSP Tool Prototype</v>
          </cell>
          <cell r="B50" t="str">
            <v>DLDR</v>
          </cell>
          <cell r="C50" t="str">
            <v>TSP Tool Prototype DLDR v200401</v>
          </cell>
          <cell r="K50" t="str">
            <v>jwo</v>
          </cell>
          <cell r="L50">
            <v>610</v>
          </cell>
          <cell r="M50" t="str">
            <v>dbobj</v>
          </cell>
          <cell r="N50">
            <v>80</v>
          </cell>
          <cell r="O50">
            <v>7.625</v>
          </cell>
          <cell r="P50">
            <v>1</v>
          </cell>
          <cell r="Q50">
            <v>7.625</v>
          </cell>
          <cell r="R50">
            <v>38173</v>
          </cell>
          <cell r="S50">
            <v>8</v>
          </cell>
          <cell r="T50">
            <v>0</v>
          </cell>
          <cell r="V50">
            <v>0</v>
          </cell>
          <cell r="W50">
            <v>0</v>
          </cell>
          <cell r="X50">
            <v>0</v>
          </cell>
          <cell r="Y50">
            <v>234.625</v>
          </cell>
          <cell r="Z50">
            <v>37.264244590033741</v>
          </cell>
          <cell r="AA50">
            <v>1.2110383164582093</v>
          </cell>
          <cell r="AC50">
            <v>38208</v>
          </cell>
          <cell r="AD50">
            <v>38173</v>
          </cell>
        </row>
        <row r="51">
          <cell r="A51" t="str">
            <v>TSP Tool Prototype</v>
          </cell>
          <cell r="B51" t="str">
            <v>DLDINSP</v>
          </cell>
          <cell r="C51" t="str">
            <v>TSP Tool Prototype DLDINSP v200401</v>
          </cell>
          <cell r="P51">
            <v>1</v>
          </cell>
          <cell r="Q51">
            <v>0</v>
          </cell>
          <cell r="R51">
            <v>38173</v>
          </cell>
          <cell r="S51">
            <v>8</v>
          </cell>
          <cell r="T51">
            <v>0</v>
          </cell>
          <cell r="V51">
            <v>0</v>
          </cell>
          <cell r="W51">
            <v>0</v>
          </cell>
          <cell r="X51">
            <v>0</v>
          </cell>
          <cell r="Y51">
            <v>234.625</v>
          </cell>
          <cell r="Z51">
            <v>37.264244590033741</v>
          </cell>
          <cell r="AA51">
            <v>0</v>
          </cell>
          <cell r="AC51">
            <v>38208</v>
          </cell>
          <cell r="AD51">
            <v>38173</v>
          </cell>
        </row>
        <row r="52">
          <cell r="Q52">
            <v>0</v>
          </cell>
          <cell r="R52">
            <v>38173</v>
          </cell>
          <cell r="S52">
            <v>8</v>
          </cell>
          <cell r="T52">
            <v>0</v>
          </cell>
          <cell r="V52">
            <v>0</v>
          </cell>
          <cell r="W52">
            <v>0</v>
          </cell>
          <cell r="X52">
            <v>0</v>
          </cell>
          <cell r="Y52">
            <v>234.625</v>
          </cell>
          <cell r="Z52">
            <v>37.264244590033741</v>
          </cell>
          <cell r="AA52">
            <v>0</v>
          </cell>
        </row>
        <row r="53">
          <cell r="A53" t="str">
            <v>TSP Tool Specification</v>
          </cell>
          <cell r="B53" t="str">
            <v>UT</v>
          </cell>
          <cell r="C53" t="str">
            <v>#M Tool Spec Core Inspected + Updated 2/16/04</v>
          </cell>
          <cell r="K53" t="str">
            <v>jwo</v>
          </cell>
          <cell r="P53">
            <v>1</v>
          </cell>
          <cell r="Q53">
            <v>0</v>
          </cell>
          <cell r="R53">
            <v>38173</v>
          </cell>
          <cell r="S53">
            <v>8</v>
          </cell>
          <cell r="T53">
            <v>0</v>
          </cell>
          <cell r="V53">
            <v>0</v>
          </cell>
          <cell r="W53">
            <v>0</v>
          </cell>
          <cell r="X53">
            <v>0</v>
          </cell>
          <cell r="Y53">
            <v>234.625</v>
          </cell>
          <cell r="Z53">
            <v>37.264244590033741</v>
          </cell>
          <cell r="AA53">
            <v>0</v>
          </cell>
          <cell r="AC53">
            <v>38208</v>
          </cell>
          <cell r="AD53">
            <v>38173</v>
          </cell>
        </row>
        <row r="54">
          <cell r="A54" t="str">
            <v>TSP Tool Specification</v>
          </cell>
          <cell r="B54" t="str">
            <v>CR</v>
          </cell>
          <cell r="C54" t="str">
            <v>Sect-TSP Specification Introduction CR</v>
          </cell>
          <cell r="K54" t="str">
            <v>jwo</v>
          </cell>
          <cell r="L54">
            <v>8</v>
          </cell>
          <cell r="M54" t="str">
            <v>pgs</v>
          </cell>
          <cell r="N54">
            <v>4</v>
          </cell>
          <cell r="O54">
            <v>2</v>
          </cell>
          <cell r="P54">
            <v>1</v>
          </cell>
          <cell r="Q54">
            <v>2</v>
          </cell>
          <cell r="R54">
            <v>38173</v>
          </cell>
          <cell r="S54">
            <v>8</v>
          </cell>
          <cell r="T54">
            <v>0</v>
          </cell>
          <cell r="V54">
            <v>0</v>
          </cell>
          <cell r="W54">
            <v>0</v>
          </cell>
          <cell r="X54">
            <v>0</v>
          </cell>
          <cell r="Y54">
            <v>236.625</v>
          </cell>
          <cell r="Z54">
            <v>37.581893984514579</v>
          </cell>
          <cell r="AA54">
            <v>0.31764939448084173</v>
          </cell>
          <cell r="AC54">
            <v>38208</v>
          </cell>
          <cell r="AD54">
            <v>38173</v>
          </cell>
        </row>
        <row r="55">
          <cell r="A55" t="str">
            <v>TSP Tool Specification</v>
          </cell>
          <cell r="B55" t="str">
            <v>CODEINSP</v>
          </cell>
          <cell r="C55" t="str">
            <v>Sect-TSP Specification Introduction CODEINSP</v>
          </cell>
          <cell r="L55">
            <v>8</v>
          </cell>
          <cell r="M55" t="str">
            <v>pgs</v>
          </cell>
          <cell r="N55">
            <v>4</v>
          </cell>
          <cell r="O55">
            <v>2</v>
          </cell>
          <cell r="P55">
            <v>1</v>
          </cell>
          <cell r="Q55">
            <v>2</v>
          </cell>
          <cell r="R55">
            <v>38173</v>
          </cell>
          <cell r="S55">
            <v>8</v>
          </cell>
          <cell r="T55">
            <v>0</v>
          </cell>
          <cell r="V55">
            <v>0</v>
          </cell>
          <cell r="W55">
            <v>0</v>
          </cell>
          <cell r="X55">
            <v>0</v>
          </cell>
          <cell r="Y55">
            <v>238.625</v>
          </cell>
          <cell r="Z55">
            <v>37.899543378995418</v>
          </cell>
          <cell r="AA55">
            <v>0.31764939448084173</v>
          </cell>
          <cell r="AC55">
            <v>38208</v>
          </cell>
          <cell r="AD55">
            <v>38173</v>
          </cell>
        </row>
        <row r="56">
          <cell r="A56" t="str">
            <v>TSP Tool Specification</v>
          </cell>
          <cell r="B56" t="str">
            <v>UT</v>
          </cell>
          <cell r="C56" t="str">
            <v>Sect-TSP Specification Introduction UT</v>
          </cell>
          <cell r="K56" t="str">
            <v>jwo</v>
          </cell>
          <cell r="L56">
            <v>8</v>
          </cell>
          <cell r="M56" t="str">
            <v>pgs</v>
          </cell>
          <cell r="N56">
            <v>4</v>
          </cell>
          <cell r="O56">
            <v>2</v>
          </cell>
          <cell r="P56">
            <v>1</v>
          </cell>
          <cell r="Q56">
            <v>2</v>
          </cell>
          <cell r="R56">
            <v>38173</v>
          </cell>
          <cell r="S56">
            <v>8</v>
          </cell>
          <cell r="T56">
            <v>0</v>
          </cell>
          <cell r="V56">
            <v>0</v>
          </cell>
          <cell r="W56">
            <v>0</v>
          </cell>
          <cell r="X56">
            <v>0</v>
          </cell>
          <cell r="Y56">
            <v>240.625</v>
          </cell>
          <cell r="Z56">
            <v>38.217192773476256</v>
          </cell>
          <cell r="AA56">
            <v>0.31764939448084173</v>
          </cell>
          <cell r="AC56">
            <v>38208</v>
          </cell>
          <cell r="AD56">
            <v>38173</v>
          </cell>
        </row>
        <row r="57">
          <cell r="A57" t="str">
            <v>TSP Tool Specification</v>
          </cell>
          <cell r="B57" t="str">
            <v>CODE</v>
          </cell>
          <cell r="C57" t="str">
            <v>Sect-Other Considerations CODE</v>
          </cell>
          <cell r="K57" t="str">
            <v>jwo</v>
          </cell>
          <cell r="L57">
            <v>4</v>
          </cell>
          <cell r="M57" t="str">
            <v>pgs</v>
          </cell>
          <cell r="N57">
            <v>2</v>
          </cell>
          <cell r="O57">
            <v>2</v>
          </cell>
          <cell r="P57">
            <v>1</v>
          </cell>
          <cell r="Q57">
            <v>2</v>
          </cell>
          <cell r="R57">
            <v>38173</v>
          </cell>
          <cell r="S57">
            <v>8</v>
          </cell>
          <cell r="T57">
            <v>0</v>
          </cell>
          <cell r="V57">
            <v>0</v>
          </cell>
          <cell r="W57">
            <v>0</v>
          </cell>
          <cell r="X57">
            <v>0</v>
          </cell>
          <cell r="Y57">
            <v>242.625</v>
          </cell>
          <cell r="Z57">
            <v>38.534842167957095</v>
          </cell>
          <cell r="AA57">
            <v>0.31764939448084173</v>
          </cell>
          <cell r="AC57">
            <v>38208</v>
          </cell>
          <cell r="AD57">
            <v>38173</v>
          </cell>
        </row>
        <row r="58">
          <cell r="A58" t="str">
            <v>TSP Tool Specification</v>
          </cell>
          <cell r="B58" t="str">
            <v>CR</v>
          </cell>
          <cell r="C58" t="str">
            <v>Sect-Other Considerations CR</v>
          </cell>
          <cell r="K58" t="str">
            <v>jwo</v>
          </cell>
          <cell r="L58">
            <v>4</v>
          </cell>
          <cell r="M58" t="str">
            <v>pgs</v>
          </cell>
          <cell r="N58">
            <v>4</v>
          </cell>
          <cell r="O58">
            <v>1</v>
          </cell>
          <cell r="P58">
            <v>1</v>
          </cell>
          <cell r="Q58">
            <v>1</v>
          </cell>
          <cell r="R58">
            <v>38173</v>
          </cell>
          <cell r="S58">
            <v>8</v>
          </cell>
          <cell r="T58">
            <v>0</v>
          </cell>
          <cell r="V58">
            <v>0</v>
          </cell>
          <cell r="W58">
            <v>0</v>
          </cell>
          <cell r="X58">
            <v>0</v>
          </cell>
          <cell r="Y58">
            <v>243.625</v>
          </cell>
          <cell r="Z58">
            <v>38.693666865197514</v>
          </cell>
          <cell r="AA58">
            <v>0.15882469724042086</v>
          </cell>
          <cell r="AC58">
            <v>38208</v>
          </cell>
          <cell r="AD58">
            <v>38173</v>
          </cell>
        </row>
        <row r="59">
          <cell r="A59" t="str">
            <v>TSP Tool Specification</v>
          </cell>
          <cell r="B59" t="str">
            <v>CODEINSP</v>
          </cell>
          <cell r="C59" t="str">
            <v>Sect-Other Considerations CODEINSP</v>
          </cell>
          <cell r="L59">
            <v>4</v>
          </cell>
          <cell r="M59" t="str">
            <v>pgs</v>
          </cell>
          <cell r="N59">
            <v>4</v>
          </cell>
          <cell r="O59">
            <v>1</v>
          </cell>
          <cell r="P59">
            <v>1</v>
          </cell>
          <cell r="Q59">
            <v>1</v>
          </cell>
          <cell r="R59">
            <v>38173</v>
          </cell>
          <cell r="S59">
            <v>8</v>
          </cell>
          <cell r="T59">
            <v>0</v>
          </cell>
          <cell r="V59">
            <v>0</v>
          </cell>
          <cell r="W59">
            <v>0</v>
          </cell>
          <cell r="X59">
            <v>0</v>
          </cell>
          <cell r="Y59">
            <v>244.625</v>
          </cell>
          <cell r="Z59">
            <v>38.852491562437933</v>
          </cell>
          <cell r="AA59">
            <v>0.15882469724042086</v>
          </cell>
          <cell r="AC59">
            <v>38208</v>
          </cell>
          <cell r="AD59">
            <v>38173</v>
          </cell>
        </row>
        <row r="60">
          <cell r="A60" t="str">
            <v>TSP Tool Specification</v>
          </cell>
          <cell r="B60" t="str">
            <v>UT</v>
          </cell>
          <cell r="C60" t="str">
            <v>Sect-Other Considerations UT</v>
          </cell>
          <cell r="K60" t="str">
            <v>jwo</v>
          </cell>
          <cell r="L60">
            <v>4</v>
          </cell>
          <cell r="M60" t="str">
            <v>pgs</v>
          </cell>
          <cell r="N60">
            <v>4</v>
          </cell>
          <cell r="O60">
            <v>1</v>
          </cell>
          <cell r="P60">
            <v>1</v>
          </cell>
          <cell r="Q60">
            <v>1</v>
          </cell>
          <cell r="R60">
            <v>38173</v>
          </cell>
          <cell r="S60">
            <v>8</v>
          </cell>
          <cell r="T60">
            <v>0</v>
          </cell>
          <cell r="V60">
            <v>0</v>
          </cell>
          <cell r="W60">
            <v>0</v>
          </cell>
          <cell r="X60">
            <v>0</v>
          </cell>
          <cell r="Y60">
            <v>245.625</v>
          </cell>
          <cell r="Z60">
            <v>39.011316259678352</v>
          </cell>
          <cell r="AA60">
            <v>0.15882469724042086</v>
          </cell>
          <cell r="AC60">
            <v>38208</v>
          </cell>
          <cell r="AD60">
            <v>38173</v>
          </cell>
        </row>
        <row r="61">
          <cell r="A61" t="str">
            <v>TSP Tool Specification</v>
          </cell>
          <cell r="B61" t="str">
            <v>CODE</v>
          </cell>
          <cell r="C61" t="str">
            <v>Sect-References and Index CODE</v>
          </cell>
          <cell r="K61" t="str">
            <v>jwo</v>
          </cell>
          <cell r="L61">
            <v>4</v>
          </cell>
          <cell r="M61" t="str">
            <v>pgs</v>
          </cell>
          <cell r="N61">
            <v>2</v>
          </cell>
          <cell r="O61">
            <v>2</v>
          </cell>
          <cell r="P61">
            <v>1</v>
          </cell>
          <cell r="Q61">
            <v>2</v>
          </cell>
          <cell r="R61">
            <v>38173</v>
          </cell>
          <cell r="S61">
            <v>8</v>
          </cell>
          <cell r="T61">
            <v>0</v>
          </cell>
          <cell r="V61">
            <v>0</v>
          </cell>
          <cell r="W61">
            <v>0</v>
          </cell>
          <cell r="X61">
            <v>0</v>
          </cell>
          <cell r="Y61">
            <v>247.625</v>
          </cell>
          <cell r="Z61">
            <v>39.328965654159191</v>
          </cell>
          <cell r="AA61">
            <v>0.31764939448084173</v>
          </cell>
          <cell r="AC61">
            <v>38208</v>
          </cell>
          <cell r="AD61">
            <v>38173</v>
          </cell>
        </row>
        <row r="62">
          <cell r="A62" t="str">
            <v>TSP Tool Specification</v>
          </cell>
          <cell r="B62" t="str">
            <v>CR</v>
          </cell>
          <cell r="C62" t="str">
            <v>Sect-References and Index CR</v>
          </cell>
          <cell r="K62" t="str">
            <v>jwo</v>
          </cell>
          <cell r="L62">
            <v>4</v>
          </cell>
          <cell r="M62" t="str">
            <v>pgs</v>
          </cell>
          <cell r="N62">
            <v>4</v>
          </cell>
          <cell r="O62">
            <v>1</v>
          </cell>
          <cell r="P62">
            <v>1</v>
          </cell>
          <cell r="Q62">
            <v>1</v>
          </cell>
          <cell r="R62">
            <v>38173</v>
          </cell>
          <cell r="S62">
            <v>8</v>
          </cell>
          <cell r="T62">
            <v>0</v>
          </cell>
          <cell r="V62">
            <v>0</v>
          </cell>
          <cell r="W62">
            <v>0</v>
          </cell>
          <cell r="X62">
            <v>0</v>
          </cell>
          <cell r="Y62">
            <v>248.625</v>
          </cell>
          <cell r="Z62">
            <v>39.48779035139961</v>
          </cell>
          <cell r="AA62">
            <v>0.15882469724042086</v>
          </cell>
          <cell r="AC62">
            <v>38208</v>
          </cell>
          <cell r="AD62">
            <v>38173</v>
          </cell>
        </row>
        <row r="63">
          <cell r="A63" t="str">
            <v>TSP Tool Specification</v>
          </cell>
          <cell r="B63" t="str">
            <v>CODEINSP</v>
          </cell>
          <cell r="C63" t="str">
            <v>Sect-References and Index CODEINSP</v>
          </cell>
          <cell r="L63">
            <v>4</v>
          </cell>
          <cell r="M63" t="str">
            <v>pgs</v>
          </cell>
          <cell r="N63">
            <v>4</v>
          </cell>
          <cell r="O63">
            <v>1</v>
          </cell>
          <cell r="P63">
            <v>1</v>
          </cell>
          <cell r="Q63">
            <v>1</v>
          </cell>
          <cell r="R63">
            <v>38173</v>
          </cell>
          <cell r="S63">
            <v>8</v>
          </cell>
          <cell r="T63">
            <v>0</v>
          </cell>
          <cell r="V63">
            <v>0</v>
          </cell>
          <cell r="W63">
            <v>0</v>
          </cell>
          <cell r="X63">
            <v>0</v>
          </cell>
          <cell r="Y63">
            <v>249.625</v>
          </cell>
          <cell r="Z63">
            <v>39.646615048640029</v>
          </cell>
          <cell r="AA63">
            <v>0.15882469724042086</v>
          </cell>
          <cell r="AC63">
            <v>38208</v>
          </cell>
          <cell r="AD63">
            <v>38173</v>
          </cell>
        </row>
        <row r="64">
          <cell r="A64" t="str">
            <v>TSP Tool Specification</v>
          </cell>
          <cell r="B64" t="str">
            <v>UT</v>
          </cell>
          <cell r="C64" t="str">
            <v>Sect-References and Index UT</v>
          </cell>
          <cell r="K64" t="str">
            <v>jwo</v>
          </cell>
          <cell r="L64">
            <v>4</v>
          </cell>
          <cell r="M64" t="str">
            <v>pgs</v>
          </cell>
          <cell r="N64">
            <v>4</v>
          </cell>
          <cell r="O64">
            <v>1</v>
          </cell>
          <cell r="P64">
            <v>1</v>
          </cell>
          <cell r="Q64">
            <v>1</v>
          </cell>
          <cell r="R64">
            <v>38180</v>
          </cell>
          <cell r="S64">
            <v>9</v>
          </cell>
          <cell r="T64">
            <v>0</v>
          </cell>
          <cell r="V64">
            <v>0</v>
          </cell>
          <cell r="W64">
            <v>0</v>
          </cell>
          <cell r="X64">
            <v>0</v>
          </cell>
          <cell r="Y64">
            <v>250.625</v>
          </cell>
          <cell r="Z64">
            <v>39.805439745880449</v>
          </cell>
          <cell r="AA64">
            <v>0.15882469724042086</v>
          </cell>
          <cell r="AC64">
            <v>38208</v>
          </cell>
          <cell r="AD64">
            <v>38180</v>
          </cell>
        </row>
        <row r="65">
          <cell r="A65" t="str">
            <v>TSP Tool Specification</v>
          </cell>
          <cell r="B65" t="str">
            <v>IT</v>
          </cell>
          <cell r="C65" t="str">
            <v>Document integraion and assembly IT</v>
          </cell>
          <cell r="K65" t="str">
            <v>jwo</v>
          </cell>
          <cell r="N65">
            <v>4</v>
          </cell>
          <cell r="O65">
            <v>1</v>
          </cell>
          <cell r="P65">
            <v>1</v>
          </cell>
          <cell r="Q65">
            <v>1</v>
          </cell>
          <cell r="R65">
            <v>38180</v>
          </cell>
          <cell r="S65">
            <v>9</v>
          </cell>
          <cell r="T65">
            <v>0</v>
          </cell>
          <cell r="V65">
            <v>0</v>
          </cell>
          <cell r="W65">
            <v>0</v>
          </cell>
          <cell r="X65">
            <v>0</v>
          </cell>
          <cell r="Y65">
            <v>251.625</v>
          </cell>
          <cell r="Z65">
            <v>39.964264443120868</v>
          </cell>
          <cell r="AA65">
            <v>0.15882469724042086</v>
          </cell>
          <cell r="AC65">
            <v>38208</v>
          </cell>
          <cell r="AD65">
            <v>38180</v>
          </cell>
        </row>
        <row r="66">
          <cell r="A66" t="str">
            <v>TSP Tool Prototype</v>
          </cell>
          <cell r="B66" t="str">
            <v>CODE</v>
          </cell>
          <cell r="C66" t="str">
            <v>TSP Tool Prototype CODE v200401</v>
          </cell>
          <cell r="K66" t="str">
            <v>jwo</v>
          </cell>
          <cell r="L66">
            <v>610</v>
          </cell>
          <cell r="M66" t="str">
            <v>dbobj</v>
          </cell>
          <cell r="N66">
            <v>20</v>
          </cell>
          <cell r="O66">
            <v>30.5</v>
          </cell>
          <cell r="P66">
            <v>1</v>
          </cell>
          <cell r="Q66">
            <v>30.5</v>
          </cell>
          <cell r="R66">
            <v>38187</v>
          </cell>
          <cell r="S66">
            <v>10</v>
          </cell>
          <cell r="T66">
            <v>0</v>
          </cell>
          <cell r="V66">
            <v>0</v>
          </cell>
          <cell r="W66">
            <v>0</v>
          </cell>
          <cell r="X66">
            <v>0</v>
          </cell>
          <cell r="Y66">
            <v>282.125</v>
          </cell>
          <cell r="Z66">
            <v>44.808417708953705</v>
          </cell>
          <cell r="AA66">
            <v>4.844153265832837</v>
          </cell>
          <cell r="AC66">
            <v>38222</v>
          </cell>
          <cell r="AD66">
            <v>38187</v>
          </cell>
        </row>
        <row r="67">
          <cell r="A67" t="str">
            <v>TSP Tool Prototype</v>
          </cell>
          <cell r="B67" t="str">
            <v>CR</v>
          </cell>
          <cell r="C67" t="str">
            <v>TSP Tool Prototype CR v200401</v>
          </cell>
          <cell r="K67" t="str">
            <v>jwo</v>
          </cell>
          <cell r="L67">
            <v>610</v>
          </cell>
          <cell r="M67" t="str">
            <v>dbobj</v>
          </cell>
          <cell r="N67">
            <v>40</v>
          </cell>
          <cell r="O67">
            <v>15.25</v>
          </cell>
          <cell r="P67">
            <v>1</v>
          </cell>
          <cell r="Q67">
            <v>15.25</v>
          </cell>
          <cell r="R67">
            <v>38194</v>
          </cell>
          <cell r="S67">
            <v>11</v>
          </cell>
          <cell r="T67">
            <v>0</v>
          </cell>
          <cell r="V67">
            <v>0</v>
          </cell>
          <cell r="W67">
            <v>0</v>
          </cell>
          <cell r="X67">
            <v>0</v>
          </cell>
          <cell r="Y67">
            <v>297.375</v>
          </cell>
          <cell r="Z67">
            <v>47.230494341870127</v>
          </cell>
          <cell r="AA67">
            <v>2.4220766329164185</v>
          </cell>
          <cell r="AC67">
            <v>38222</v>
          </cell>
          <cell r="AD67">
            <v>38194</v>
          </cell>
        </row>
        <row r="68">
          <cell r="A68" t="str">
            <v>TSP Tool Prototype</v>
          </cell>
          <cell r="B68" t="str">
            <v>CODEINSP</v>
          </cell>
          <cell r="C68" t="str">
            <v>TSP Tool Prototype CODEINSP v200401</v>
          </cell>
          <cell r="P68">
            <v>1</v>
          </cell>
          <cell r="Q68">
            <v>0</v>
          </cell>
          <cell r="R68">
            <v>38194</v>
          </cell>
          <cell r="S68">
            <v>11</v>
          </cell>
          <cell r="T68">
            <v>0</v>
          </cell>
          <cell r="V68">
            <v>0</v>
          </cell>
          <cell r="W68">
            <v>0</v>
          </cell>
          <cell r="X68">
            <v>0</v>
          </cell>
          <cell r="Y68">
            <v>297.375</v>
          </cell>
          <cell r="Z68">
            <v>47.230494341870127</v>
          </cell>
          <cell r="AA68">
            <v>0</v>
          </cell>
          <cell r="AC68">
            <v>38222</v>
          </cell>
          <cell r="AD68">
            <v>38194</v>
          </cell>
        </row>
        <row r="69">
          <cell r="A69" t="str">
            <v>TSP Tool Prototype</v>
          </cell>
          <cell r="B69" t="str">
            <v>UT</v>
          </cell>
          <cell r="C69" t="str">
            <v>TSP Tool Prototype UT v200401</v>
          </cell>
          <cell r="K69" t="str">
            <v>jwo</v>
          </cell>
          <cell r="L69">
            <v>610</v>
          </cell>
          <cell r="M69" t="str">
            <v>dbobj</v>
          </cell>
          <cell r="N69">
            <v>40</v>
          </cell>
          <cell r="O69">
            <v>15.25</v>
          </cell>
          <cell r="P69">
            <v>1</v>
          </cell>
          <cell r="Q69">
            <v>15.25</v>
          </cell>
          <cell r="R69">
            <v>38208</v>
          </cell>
          <cell r="S69">
            <v>13</v>
          </cell>
          <cell r="T69">
            <v>0</v>
          </cell>
          <cell r="V69">
            <v>0</v>
          </cell>
          <cell r="W69">
            <v>0</v>
          </cell>
          <cell r="X69">
            <v>0</v>
          </cell>
          <cell r="Y69">
            <v>312.625</v>
          </cell>
          <cell r="Z69">
            <v>49.652570974786542</v>
          </cell>
          <cell r="AA69">
            <v>2.4220766329164185</v>
          </cell>
          <cell r="AC69">
            <v>38229</v>
          </cell>
          <cell r="AD69">
            <v>38208</v>
          </cell>
        </row>
        <row r="70">
          <cell r="A70" t="str">
            <v>TSP Tool Prototype</v>
          </cell>
          <cell r="B70" t="str">
            <v>ST</v>
          </cell>
          <cell r="C70" t="str">
            <v>TSP Tool Prototype ST v200401</v>
          </cell>
          <cell r="K70" t="str">
            <v>jwo</v>
          </cell>
          <cell r="M70" t="str">
            <v>dbobj</v>
          </cell>
          <cell r="P70">
            <v>1</v>
          </cell>
          <cell r="Q70">
            <v>0</v>
          </cell>
          <cell r="R70">
            <v>38208</v>
          </cell>
          <cell r="S70">
            <v>13</v>
          </cell>
          <cell r="T70">
            <v>0</v>
          </cell>
          <cell r="V70">
            <v>0</v>
          </cell>
          <cell r="W70">
            <v>0</v>
          </cell>
          <cell r="X70">
            <v>0</v>
          </cell>
          <cell r="Y70">
            <v>312.625</v>
          </cell>
          <cell r="Z70">
            <v>49.652570974786542</v>
          </cell>
          <cell r="AA70">
            <v>0</v>
          </cell>
          <cell r="AC70">
            <v>38229</v>
          </cell>
          <cell r="AD70">
            <v>38208</v>
          </cell>
        </row>
        <row r="71">
          <cell r="A71" t="str">
            <v>TSP Tool Specification</v>
          </cell>
          <cell r="B71" t="str">
            <v>IT</v>
          </cell>
          <cell r="C71" t="str">
            <v>#M Tool Spec Drafted 3/1/04</v>
          </cell>
          <cell r="K71" t="str">
            <v>jwo</v>
          </cell>
          <cell r="O71">
            <v>0</v>
          </cell>
          <cell r="P71">
            <v>0</v>
          </cell>
          <cell r="Q71">
            <v>0</v>
          </cell>
          <cell r="R71">
            <v>38208</v>
          </cell>
          <cell r="S71">
            <v>13</v>
          </cell>
          <cell r="T71">
            <v>0</v>
          </cell>
          <cell r="V71">
            <v>0</v>
          </cell>
          <cell r="W71">
            <v>0</v>
          </cell>
          <cell r="X71">
            <v>0</v>
          </cell>
          <cell r="Y71">
            <v>312.625</v>
          </cell>
          <cell r="Z71">
            <v>49.652570974786542</v>
          </cell>
          <cell r="AA71">
            <v>0</v>
          </cell>
          <cell r="AC71">
            <v>38229</v>
          </cell>
          <cell r="AD71">
            <v>38208</v>
          </cell>
        </row>
        <row r="72">
          <cell r="A72" t="str">
            <v>TSP Tool Specification</v>
          </cell>
          <cell r="B72" t="str">
            <v>IT</v>
          </cell>
          <cell r="C72" t="str">
            <v>#M Tool Spec Inspected 3/1/04</v>
          </cell>
          <cell r="K72" t="str">
            <v>jwo</v>
          </cell>
          <cell r="O72">
            <v>0</v>
          </cell>
          <cell r="P72">
            <v>0</v>
          </cell>
          <cell r="Q72">
            <v>0</v>
          </cell>
          <cell r="R72">
            <v>38208</v>
          </cell>
          <cell r="S72">
            <v>13</v>
          </cell>
          <cell r="T72">
            <v>0</v>
          </cell>
          <cell r="V72">
            <v>0</v>
          </cell>
          <cell r="W72">
            <v>0</v>
          </cell>
          <cell r="X72">
            <v>0</v>
          </cell>
          <cell r="Y72">
            <v>312.625</v>
          </cell>
          <cell r="Z72">
            <v>49.652570974786542</v>
          </cell>
          <cell r="AA72">
            <v>0</v>
          </cell>
          <cell r="AC72">
            <v>38229</v>
          </cell>
          <cell r="AD72">
            <v>38208</v>
          </cell>
        </row>
        <row r="73">
          <cell r="A73" t="str">
            <v>TSP Tool Prototype</v>
          </cell>
          <cell r="B73" t="str">
            <v>IT</v>
          </cell>
          <cell r="C73" t="str">
            <v>#M Team Member Tool Prototype ready for testing 3/1/04</v>
          </cell>
          <cell r="K73" t="str">
            <v>jwo</v>
          </cell>
          <cell r="P73">
            <v>0</v>
          </cell>
          <cell r="Q73">
            <v>0</v>
          </cell>
          <cell r="R73">
            <v>38208</v>
          </cell>
          <cell r="S73">
            <v>13</v>
          </cell>
          <cell r="T73">
            <v>0</v>
          </cell>
          <cell r="V73">
            <v>0</v>
          </cell>
          <cell r="W73">
            <v>0</v>
          </cell>
          <cell r="X73">
            <v>0</v>
          </cell>
          <cell r="Y73">
            <v>312.625</v>
          </cell>
          <cell r="Z73">
            <v>49.652570974786542</v>
          </cell>
          <cell r="AA73">
            <v>0</v>
          </cell>
          <cell r="AC73">
            <v>38229</v>
          </cell>
          <cell r="AD73">
            <v>38208</v>
          </cell>
        </row>
        <row r="74">
          <cell r="Q74">
            <v>0</v>
          </cell>
          <cell r="R74">
            <v>38208</v>
          </cell>
          <cell r="S74">
            <v>13</v>
          </cell>
          <cell r="T74">
            <v>0</v>
          </cell>
          <cell r="V74">
            <v>0</v>
          </cell>
          <cell r="W74">
            <v>0</v>
          </cell>
          <cell r="X74">
            <v>0</v>
          </cell>
          <cell r="Y74">
            <v>312.625</v>
          </cell>
          <cell r="Z74">
            <v>49.652570974786542</v>
          </cell>
          <cell r="AA74">
            <v>0</v>
          </cell>
        </row>
        <row r="75">
          <cell r="A75" t="str">
            <v>TSP Tool Specification</v>
          </cell>
          <cell r="B75" t="str">
            <v>ST</v>
          </cell>
          <cell r="C75" t="str">
            <v>TSP Tool Specification Support comment period</v>
          </cell>
          <cell r="K75" t="str">
            <v>jwo</v>
          </cell>
          <cell r="O75">
            <v>80</v>
          </cell>
          <cell r="P75">
            <v>1</v>
          </cell>
          <cell r="Q75">
            <v>80</v>
          </cell>
          <cell r="R75">
            <v>38222</v>
          </cell>
          <cell r="S75">
            <v>15</v>
          </cell>
          <cell r="T75">
            <v>0</v>
          </cell>
          <cell r="V75">
            <v>0</v>
          </cell>
          <cell r="W75">
            <v>0</v>
          </cell>
          <cell r="X75">
            <v>0</v>
          </cell>
          <cell r="Y75">
            <v>392.625</v>
          </cell>
          <cell r="Z75">
            <v>62.35854675402021</v>
          </cell>
          <cell r="AA75">
            <v>12.705975779233672</v>
          </cell>
          <cell r="AC75">
            <v>38250</v>
          </cell>
          <cell r="AD75">
            <v>38222</v>
          </cell>
        </row>
        <row r="76">
          <cell r="Q76">
            <v>0</v>
          </cell>
          <cell r="R76">
            <v>38222</v>
          </cell>
          <cell r="S76">
            <v>15</v>
          </cell>
          <cell r="T76">
            <v>0</v>
          </cell>
          <cell r="V76">
            <v>0</v>
          </cell>
          <cell r="W76">
            <v>0</v>
          </cell>
          <cell r="X76">
            <v>0</v>
          </cell>
          <cell r="Y76">
            <v>392.625</v>
          </cell>
          <cell r="Z76">
            <v>62.35854675402021</v>
          </cell>
          <cell r="AA76">
            <v>0</v>
          </cell>
        </row>
        <row r="77">
          <cell r="C77" t="str">
            <v>***TSP Tool Prorotype</v>
          </cell>
          <cell r="Q77">
            <v>0</v>
          </cell>
          <cell r="R77">
            <v>38222</v>
          </cell>
          <cell r="S77">
            <v>15</v>
          </cell>
          <cell r="T77">
            <v>0</v>
          </cell>
          <cell r="V77">
            <v>0</v>
          </cell>
          <cell r="W77">
            <v>0</v>
          </cell>
          <cell r="X77">
            <v>0</v>
          </cell>
          <cell r="Y77">
            <v>392.625</v>
          </cell>
          <cell r="Z77">
            <v>62.35854675402021</v>
          </cell>
          <cell r="AA77">
            <v>0</v>
          </cell>
        </row>
        <row r="78">
          <cell r="Q78">
            <v>0</v>
          </cell>
          <cell r="R78">
            <v>38222</v>
          </cell>
          <cell r="S78">
            <v>15</v>
          </cell>
          <cell r="T78">
            <v>0</v>
          </cell>
          <cell r="V78">
            <v>0</v>
          </cell>
          <cell r="W78">
            <v>0</v>
          </cell>
          <cell r="X78">
            <v>0</v>
          </cell>
          <cell r="Y78">
            <v>392.625</v>
          </cell>
          <cell r="Z78">
            <v>62.35854675402021</v>
          </cell>
          <cell r="AA78">
            <v>0</v>
          </cell>
        </row>
        <row r="79">
          <cell r="A79" t="str">
            <v>TSP Tool Prototype</v>
          </cell>
          <cell r="B79" t="str">
            <v>CODE</v>
          </cell>
          <cell r="C79" t="str">
            <v>TSP Tool Prototype ipmlement org. and team functionality</v>
          </cell>
          <cell r="O79">
            <v>40</v>
          </cell>
          <cell r="P79">
            <v>1</v>
          </cell>
          <cell r="Q79">
            <v>40</v>
          </cell>
          <cell r="R79">
            <v>38236</v>
          </cell>
          <cell r="S79">
            <v>17</v>
          </cell>
          <cell r="T79">
            <v>0</v>
          </cell>
          <cell r="V79">
            <v>0</v>
          </cell>
          <cell r="W79">
            <v>0</v>
          </cell>
          <cell r="X79">
            <v>0</v>
          </cell>
          <cell r="Y79">
            <v>432.625</v>
          </cell>
          <cell r="Z79">
            <v>68.711534643637052</v>
          </cell>
          <cell r="AA79">
            <v>6.3529878896168359</v>
          </cell>
          <cell r="AC79">
            <v>38264</v>
          </cell>
          <cell r="AD79">
            <v>38236</v>
          </cell>
        </row>
        <row r="80">
          <cell r="A80" t="str">
            <v>Marketing</v>
          </cell>
          <cell r="B80" t="str">
            <v>PLAN</v>
          </cell>
          <cell r="C80" t="str">
            <v>Marketing Support</v>
          </cell>
          <cell r="K80" t="str">
            <v>jwo</v>
          </cell>
          <cell r="O80">
            <v>50</v>
          </cell>
          <cell r="P80">
            <v>1</v>
          </cell>
          <cell r="Q80">
            <v>50</v>
          </cell>
          <cell r="R80">
            <v>38243</v>
          </cell>
          <cell r="S80">
            <v>18</v>
          </cell>
          <cell r="T80">
            <v>0.99999999999999833</v>
          </cell>
          <cell r="V80">
            <v>0</v>
          </cell>
          <cell r="W80">
            <v>0</v>
          </cell>
          <cell r="X80">
            <v>0</v>
          </cell>
          <cell r="Y80">
            <v>482.625</v>
          </cell>
          <cell r="Z80">
            <v>76.6527695056581</v>
          </cell>
          <cell r="AA80">
            <v>7.9412348620210444</v>
          </cell>
          <cell r="AC80">
            <v>38278</v>
          </cell>
          <cell r="AD80">
            <v>38243</v>
          </cell>
        </row>
        <row r="81">
          <cell r="Q81">
            <v>0</v>
          </cell>
          <cell r="R81">
            <v>38243</v>
          </cell>
          <cell r="S81">
            <v>18</v>
          </cell>
          <cell r="T81">
            <v>0</v>
          </cell>
          <cell r="V81">
            <v>0</v>
          </cell>
          <cell r="W81">
            <v>0</v>
          </cell>
          <cell r="X81">
            <v>0</v>
          </cell>
          <cell r="Y81">
            <v>482.625</v>
          </cell>
          <cell r="Z81">
            <v>76.6527695056581</v>
          </cell>
          <cell r="AA81">
            <v>0</v>
          </cell>
        </row>
        <row r="82">
          <cell r="A82" t="str">
            <v>TSP-CMMI Gap Analysis</v>
          </cell>
          <cell r="B82" t="str">
            <v>CODEINSP</v>
          </cell>
          <cell r="C82" t="str">
            <v>CMMI Overview Briefing</v>
          </cell>
          <cell r="K82" t="str">
            <v>jwo</v>
          </cell>
          <cell r="O82">
            <v>1</v>
          </cell>
          <cell r="P82">
            <v>1</v>
          </cell>
          <cell r="Q82">
            <v>1</v>
          </cell>
          <cell r="R82">
            <v>38243</v>
          </cell>
          <cell r="S82">
            <v>18</v>
          </cell>
          <cell r="T82">
            <v>0</v>
          </cell>
          <cell r="V82">
            <v>0</v>
          </cell>
          <cell r="W82">
            <v>0</v>
          </cell>
          <cell r="X82">
            <v>0</v>
          </cell>
          <cell r="Y82">
            <v>483.625</v>
          </cell>
          <cell r="Z82">
            <v>76.811594202898519</v>
          </cell>
          <cell r="AA82">
            <v>0.15882469724042086</v>
          </cell>
          <cell r="AC82">
            <v>38278</v>
          </cell>
          <cell r="AD82">
            <v>38243</v>
          </cell>
        </row>
        <row r="83">
          <cell r="A83" t="str">
            <v>TSP-CMMI Gap Analysis</v>
          </cell>
          <cell r="B83" t="str">
            <v>CODEINSP</v>
          </cell>
          <cell r="C83" t="str">
            <v>Mapping walkthrough</v>
          </cell>
          <cell r="K83" t="str">
            <v>jwo</v>
          </cell>
          <cell r="O83">
            <v>2</v>
          </cell>
          <cell r="P83">
            <v>1</v>
          </cell>
          <cell r="Q83">
            <v>2</v>
          </cell>
          <cell r="R83">
            <v>38243</v>
          </cell>
          <cell r="S83">
            <v>18</v>
          </cell>
          <cell r="T83">
            <v>0</v>
          </cell>
          <cell r="V83">
            <v>0</v>
          </cell>
          <cell r="W83">
            <v>0</v>
          </cell>
          <cell r="X83">
            <v>0</v>
          </cell>
          <cell r="Y83">
            <v>485.625</v>
          </cell>
          <cell r="Z83">
            <v>77.129243597379357</v>
          </cell>
          <cell r="AA83">
            <v>0.31764939448084173</v>
          </cell>
          <cell r="AC83">
            <v>38278</v>
          </cell>
          <cell r="AD83">
            <v>38243</v>
          </cell>
        </row>
        <row r="84">
          <cell r="A84" t="str">
            <v>TSP-CMMI Gap Analysis</v>
          </cell>
          <cell r="B84" t="str">
            <v>CODEINSP</v>
          </cell>
          <cell r="C84" t="str">
            <v>Project management Pas</v>
          </cell>
          <cell r="K84" t="str">
            <v>jwo</v>
          </cell>
          <cell r="O84">
            <v>6</v>
          </cell>
          <cell r="P84">
            <v>1</v>
          </cell>
          <cell r="Q84">
            <v>6</v>
          </cell>
          <cell r="R84">
            <v>38250</v>
          </cell>
          <cell r="S84">
            <v>19</v>
          </cell>
          <cell r="T84">
            <v>0</v>
          </cell>
          <cell r="V84">
            <v>0</v>
          </cell>
          <cell r="W84">
            <v>0</v>
          </cell>
          <cell r="X84">
            <v>0</v>
          </cell>
          <cell r="Y84">
            <v>491.625</v>
          </cell>
          <cell r="Z84">
            <v>78.082191780821887</v>
          </cell>
          <cell r="AA84">
            <v>0.95294818344252541</v>
          </cell>
          <cell r="AC84">
            <v>38278</v>
          </cell>
          <cell r="AD84">
            <v>38250</v>
          </cell>
        </row>
        <row r="85">
          <cell r="A85" t="str">
            <v>TSP-CMMI Gap Analysis</v>
          </cell>
          <cell r="B85" t="str">
            <v>CODEINSP</v>
          </cell>
          <cell r="C85" t="str">
            <v>Process management Pas</v>
          </cell>
          <cell r="K85" t="str">
            <v>jwo</v>
          </cell>
          <cell r="O85">
            <v>6</v>
          </cell>
          <cell r="P85">
            <v>1</v>
          </cell>
          <cell r="Q85">
            <v>6</v>
          </cell>
          <cell r="R85">
            <v>38250</v>
          </cell>
          <cell r="S85">
            <v>19</v>
          </cell>
          <cell r="T85">
            <v>0</v>
          </cell>
          <cell r="V85">
            <v>0</v>
          </cell>
          <cell r="W85">
            <v>0</v>
          </cell>
          <cell r="X85">
            <v>0</v>
          </cell>
          <cell r="Y85">
            <v>497.625</v>
          </cell>
          <cell r="Z85">
            <v>79.035139964264417</v>
          </cell>
          <cell r="AA85">
            <v>0.95294818344252541</v>
          </cell>
          <cell r="AC85">
            <v>38278</v>
          </cell>
          <cell r="AD85">
            <v>38250</v>
          </cell>
        </row>
        <row r="86">
          <cell r="A86" t="str">
            <v>TSP-CMMI Gap Analysis</v>
          </cell>
          <cell r="B86" t="str">
            <v>CODEINSP</v>
          </cell>
          <cell r="C86" t="str">
            <v>Engineering Pas</v>
          </cell>
          <cell r="K86" t="str">
            <v>jwo</v>
          </cell>
          <cell r="O86">
            <v>6</v>
          </cell>
          <cell r="P86">
            <v>1</v>
          </cell>
          <cell r="Q86">
            <v>6</v>
          </cell>
          <cell r="R86">
            <v>38250</v>
          </cell>
          <cell r="S86">
            <v>19</v>
          </cell>
          <cell r="T86">
            <v>0</v>
          </cell>
          <cell r="V86">
            <v>0</v>
          </cell>
          <cell r="W86">
            <v>0</v>
          </cell>
          <cell r="X86">
            <v>0</v>
          </cell>
          <cell r="Y86">
            <v>503.625</v>
          </cell>
          <cell r="Z86">
            <v>79.988088147706947</v>
          </cell>
          <cell r="AA86">
            <v>0.95294818344252541</v>
          </cell>
          <cell r="AC86">
            <v>38285</v>
          </cell>
          <cell r="AD86">
            <v>38250</v>
          </cell>
        </row>
        <row r="87">
          <cell r="A87" t="str">
            <v>TSP-CMMI Gap Analysis</v>
          </cell>
          <cell r="B87" t="str">
            <v>CODEINSP</v>
          </cell>
          <cell r="C87" t="str">
            <v>Support Pas</v>
          </cell>
          <cell r="K87" t="str">
            <v>jwo</v>
          </cell>
          <cell r="O87">
            <v>6</v>
          </cell>
          <cell r="P87">
            <v>1</v>
          </cell>
          <cell r="Q87">
            <v>6</v>
          </cell>
          <cell r="R87">
            <v>38250</v>
          </cell>
          <cell r="S87">
            <v>19</v>
          </cell>
          <cell r="T87">
            <v>0</v>
          </cell>
          <cell r="V87">
            <v>0</v>
          </cell>
          <cell r="W87">
            <v>0</v>
          </cell>
          <cell r="X87">
            <v>0</v>
          </cell>
          <cell r="Y87">
            <v>509.625</v>
          </cell>
          <cell r="Z87">
            <v>80.941036331149476</v>
          </cell>
          <cell r="AA87">
            <v>0.95294818344252541</v>
          </cell>
          <cell r="AC87">
            <v>38285</v>
          </cell>
          <cell r="AD87">
            <v>38250</v>
          </cell>
        </row>
        <row r="88">
          <cell r="A88" t="str">
            <v>TSP-CMMI Gap Analysis</v>
          </cell>
          <cell r="B88" t="str">
            <v>CODEINSP</v>
          </cell>
          <cell r="C88" t="str">
            <v>TR</v>
          </cell>
          <cell r="K88" t="str">
            <v>jwo</v>
          </cell>
          <cell r="O88">
            <v>6</v>
          </cell>
          <cell r="P88">
            <v>1</v>
          </cell>
          <cell r="Q88">
            <v>6</v>
          </cell>
          <cell r="R88">
            <v>38250</v>
          </cell>
          <cell r="S88">
            <v>19</v>
          </cell>
          <cell r="T88">
            <v>0</v>
          </cell>
          <cell r="V88">
            <v>0</v>
          </cell>
          <cell r="W88">
            <v>0</v>
          </cell>
          <cell r="X88">
            <v>0</v>
          </cell>
          <cell r="Y88">
            <v>515.625</v>
          </cell>
          <cell r="Z88">
            <v>81.893984514592006</v>
          </cell>
          <cell r="AA88">
            <v>0.95294818344252541</v>
          </cell>
          <cell r="AC88">
            <v>38285</v>
          </cell>
          <cell r="AD88">
            <v>38250</v>
          </cell>
        </row>
        <row r="89">
          <cell r="Q89">
            <v>0</v>
          </cell>
          <cell r="R89">
            <v>38250</v>
          </cell>
          <cell r="S89">
            <v>19</v>
          </cell>
          <cell r="T89">
            <v>0</v>
          </cell>
          <cell r="V89">
            <v>0</v>
          </cell>
          <cell r="W89">
            <v>0</v>
          </cell>
          <cell r="X89">
            <v>0</v>
          </cell>
          <cell r="Y89">
            <v>515.625</v>
          </cell>
          <cell r="Z89">
            <v>81.893984514592006</v>
          </cell>
          <cell r="AA89">
            <v>0</v>
          </cell>
        </row>
        <row r="90">
          <cell r="A90" t="str">
            <v>ISAM Support for AMCOM</v>
          </cell>
          <cell r="B90" t="str">
            <v>DLDINSP</v>
          </cell>
          <cell r="C90" t="str">
            <v>AMCOM coaching/mentoring plan for Development Team</v>
          </cell>
          <cell r="K90" t="str">
            <v>jwo</v>
          </cell>
          <cell r="O90">
            <v>2</v>
          </cell>
          <cell r="P90">
            <v>1</v>
          </cell>
          <cell r="Q90">
            <v>2</v>
          </cell>
          <cell r="R90">
            <v>38250</v>
          </cell>
          <cell r="S90">
            <v>19</v>
          </cell>
          <cell r="T90">
            <v>0</v>
          </cell>
          <cell r="V90">
            <v>0</v>
          </cell>
          <cell r="W90">
            <v>0</v>
          </cell>
          <cell r="X90">
            <v>0</v>
          </cell>
          <cell r="Y90">
            <v>517.625</v>
          </cell>
          <cell r="Z90">
            <v>82.211633909072845</v>
          </cell>
          <cell r="AA90">
            <v>0.31764939448084173</v>
          </cell>
          <cell r="AC90">
            <v>38285</v>
          </cell>
          <cell r="AD90">
            <v>38250</v>
          </cell>
        </row>
        <row r="91">
          <cell r="A91" t="str">
            <v>ISAM Support for AMCOM</v>
          </cell>
          <cell r="B91" t="str">
            <v>DLDINSP</v>
          </cell>
          <cell r="C91" t="str">
            <v xml:space="preserve">AMCOM coaching/mentoring plan for Acquisition Team </v>
          </cell>
          <cell r="K91" t="str">
            <v>jwo</v>
          </cell>
          <cell r="O91">
            <v>2</v>
          </cell>
          <cell r="P91">
            <v>1</v>
          </cell>
          <cell r="Q91">
            <v>2</v>
          </cell>
          <cell r="R91">
            <v>38250</v>
          </cell>
          <cell r="S91">
            <v>19</v>
          </cell>
          <cell r="T91">
            <v>0</v>
          </cell>
          <cell r="V91">
            <v>0</v>
          </cell>
          <cell r="W91">
            <v>0</v>
          </cell>
          <cell r="X91">
            <v>0</v>
          </cell>
          <cell r="Y91">
            <v>519.625</v>
          </cell>
          <cell r="Z91">
            <v>82.529283303553683</v>
          </cell>
          <cell r="AA91">
            <v>0.31764939448084173</v>
          </cell>
          <cell r="AC91">
            <v>38285</v>
          </cell>
          <cell r="AD91">
            <v>38250</v>
          </cell>
        </row>
        <row r="92">
          <cell r="A92" t="str">
            <v>ISAM Support for AMCOM</v>
          </cell>
          <cell r="B92" t="str">
            <v>REQINSP</v>
          </cell>
          <cell r="C92" t="str">
            <v xml:space="preserve">requirements for ISAM measurement/tracking plan </v>
          </cell>
          <cell r="K92" t="str">
            <v>jwo</v>
          </cell>
          <cell r="O92">
            <v>2</v>
          </cell>
          <cell r="P92">
            <v>1</v>
          </cell>
          <cell r="Q92">
            <v>2</v>
          </cell>
          <cell r="R92">
            <v>38250</v>
          </cell>
          <cell r="S92">
            <v>19</v>
          </cell>
          <cell r="T92">
            <v>0</v>
          </cell>
          <cell r="V92">
            <v>0</v>
          </cell>
          <cell r="W92">
            <v>0</v>
          </cell>
          <cell r="X92">
            <v>0</v>
          </cell>
          <cell r="Y92">
            <v>521.625</v>
          </cell>
          <cell r="Z92">
            <v>82.846932698034522</v>
          </cell>
          <cell r="AA92">
            <v>0.31764939448084173</v>
          </cell>
          <cell r="AC92">
            <v>38285</v>
          </cell>
          <cell r="AD92">
            <v>38250</v>
          </cell>
        </row>
        <row r="93">
          <cell r="A93" t="str">
            <v>ISAM Support for AMCOM</v>
          </cell>
          <cell r="B93" t="str">
            <v>DLDINSP</v>
          </cell>
          <cell r="C93" t="str">
            <v xml:space="preserve">draft ISAM measurement/tracking plan for AMCOM </v>
          </cell>
          <cell r="K93" t="str">
            <v>jwo</v>
          </cell>
          <cell r="O93">
            <v>2</v>
          </cell>
          <cell r="P93">
            <v>1</v>
          </cell>
          <cell r="Q93">
            <v>2</v>
          </cell>
          <cell r="R93">
            <v>38250</v>
          </cell>
          <cell r="S93">
            <v>19</v>
          </cell>
          <cell r="T93">
            <v>0</v>
          </cell>
          <cell r="V93">
            <v>0</v>
          </cell>
          <cell r="W93">
            <v>0</v>
          </cell>
          <cell r="X93">
            <v>0</v>
          </cell>
          <cell r="Y93">
            <v>523.625</v>
          </cell>
          <cell r="Z93">
            <v>83.16458209251536</v>
          </cell>
          <cell r="AA93">
            <v>0.31764939448084173</v>
          </cell>
          <cell r="AC93">
            <v>38292</v>
          </cell>
          <cell r="AD93">
            <v>38250</v>
          </cell>
        </row>
        <row r="94">
          <cell r="A94" t="str">
            <v>ISAM Support for AMCOM</v>
          </cell>
          <cell r="B94" t="str">
            <v>CODEINSP</v>
          </cell>
          <cell r="C94" t="str">
            <v xml:space="preserve">draft AMCOM Pilot Restuls TN </v>
          </cell>
          <cell r="K94" t="str">
            <v>jwo</v>
          </cell>
          <cell r="O94">
            <v>2</v>
          </cell>
          <cell r="P94">
            <v>1</v>
          </cell>
          <cell r="Q94">
            <v>2</v>
          </cell>
          <cell r="R94">
            <v>38250</v>
          </cell>
          <cell r="S94">
            <v>19</v>
          </cell>
          <cell r="T94">
            <v>0</v>
          </cell>
          <cell r="V94">
            <v>0</v>
          </cell>
          <cell r="W94">
            <v>0</v>
          </cell>
          <cell r="X94">
            <v>0</v>
          </cell>
          <cell r="Y94">
            <v>525.625</v>
          </cell>
          <cell r="Z94">
            <v>83.482231486996199</v>
          </cell>
          <cell r="AA94">
            <v>0.31764939448084173</v>
          </cell>
          <cell r="AC94">
            <v>38292</v>
          </cell>
          <cell r="AD94">
            <v>38250</v>
          </cell>
        </row>
        <row r="95">
          <cell r="Q95">
            <v>0</v>
          </cell>
          <cell r="R95">
            <v>38250</v>
          </cell>
          <cell r="S95">
            <v>19</v>
          </cell>
          <cell r="T95">
            <v>0</v>
          </cell>
          <cell r="V95">
            <v>0</v>
          </cell>
          <cell r="W95">
            <v>0</v>
          </cell>
          <cell r="X95">
            <v>0</v>
          </cell>
          <cell r="Y95">
            <v>525.625</v>
          </cell>
          <cell r="Z95">
            <v>83.482231486996199</v>
          </cell>
          <cell r="AA95">
            <v>0</v>
          </cell>
        </row>
        <row r="96">
          <cell r="A96" t="str">
            <v>Secure-General</v>
          </cell>
          <cell r="B96" t="str">
            <v>CODEINSP</v>
          </cell>
          <cell r="C96" t="str">
            <v>TSP-Secure Workshop Dry Run</v>
          </cell>
          <cell r="K96" t="str">
            <v>jwo</v>
          </cell>
          <cell r="O96">
            <v>1</v>
          </cell>
          <cell r="P96">
            <v>12</v>
          </cell>
          <cell r="Q96">
            <v>12</v>
          </cell>
          <cell r="R96">
            <v>38257</v>
          </cell>
          <cell r="S96">
            <v>20</v>
          </cell>
          <cell r="T96">
            <v>0</v>
          </cell>
          <cell r="V96">
            <v>0</v>
          </cell>
          <cell r="W96">
            <v>0</v>
          </cell>
          <cell r="X96">
            <v>0</v>
          </cell>
          <cell r="Y96">
            <v>537.625</v>
          </cell>
          <cell r="Z96">
            <v>85.388127853881244</v>
          </cell>
          <cell r="AA96">
            <v>1.9058963668850508</v>
          </cell>
          <cell r="AC96">
            <v>38292</v>
          </cell>
          <cell r="AD96">
            <v>38257</v>
          </cell>
        </row>
        <row r="97">
          <cell r="Q97">
            <v>0</v>
          </cell>
          <cell r="R97">
            <v>38257</v>
          </cell>
          <cell r="S97">
            <v>20</v>
          </cell>
          <cell r="T97">
            <v>0</v>
          </cell>
          <cell r="V97">
            <v>0</v>
          </cell>
          <cell r="W97">
            <v>0</v>
          </cell>
          <cell r="X97">
            <v>0</v>
          </cell>
          <cell r="Y97">
            <v>537.625</v>
          </cell>
          <cell r="Z97">
            <v>85.388127853881244</v>
          </cell>
          <cell r="AA97">
            <v>0</v>
          </cell>
        </row>
        <row r="98">
          <cell r="A98" t="str">
            <v>Distance Education</v>
          </cell>
          <cell r="B98" t="str">
            <v>REQINSP</v>
          </cell>
          <cell r="C98" t="str">
            <v>Proposal</v>
          </cell>
          <cell r="K98" t="str">
            <v>jwo</v>
          </cell>
          <cell r="O98">
            <v>1</v>
          </cell>
          <cell r="P98">
            <v>1</v>
          </cell>
          <cell r="Q98">
            <v>1</v>
          </cell>
          <cell r="R98">
            <v>38257</v>
          </cell>
          <cell r="S98">
            <v>20</v>
          </cell>
          <cell r="T98">
            <v>0</v>
          </cell>
          <cell r="V98">
            <v>0</v>
          </cell>
          <cell r="W98">
            <v>0</v>
          </cell>
          <cell r="X98">
            <v>0</v>
          </cell>
          <cell r="Y98">
            <v>538.625</v>
          </cell>
          <cell r="Z98">
            <v>85.546952551121663</v>
          </cell>
          <cell r="AA98">
            <v>0.15882469724042086</v>
          </cell>
          <cell r="AC98">
            <v>38292</v>
          </cell>
          <cell r="AD98">
            <v>38257</v>
          </cell>
        </row>
        <row r="99">
          <cell r="A99" t="str">
            <v>Distance Education</v>
          </cell>
          <cell r="B99" t="str">
            <v>HLDINSP</v>
          </cell>
          <cell r="C99" t="str">
            <v>Distance Education HLDINSP</v>
          </cell>
          <cell r="K99" t="str">
            <v>jwo</v>
          </cell>
          <cell r="O99">
            <v>1</v>
          </cell>
          <cell r="P99">
            <v>3</v>
          </cell>
          <cell r="Q99">
            <v>3</v>
          </cell>
          <cell r="R99">
            <v>38257</v>
          </cell>
          <cell r="S99">
            <v>20</v>
          </cell>
          <cell r="T99">
            <v>0</v>
          </cell>
          <cell r="V99">
            <v>0</v>
          </cell>
          <cell r="W99">
            <v>0</v>
          </cell>
          <cell r="X99">
            <v>0</v>
          </cell>
          <cell r="Y99">
            <v>541.625</v>
          </cell>
          <cell r="Z99">
            <v>86.023426642842921</v>
          </cell>
          <cell r="AA99">
            <v>0.4764740917212627</v>
          </cell>
          <cell r="AC99">
            <v>38292</v>
          </cell>
          <cell r="AD99">
            <v>38257</v>
          </cell>
        </row>
        <row r="100">
          <cell r="A100" t="str">
            <v>Distance Education</v>
          </cell>
          <cell r="B100" t="str">
            <v>DLDINSP</v>
          </cell>
          <cell r="C100" t="str">
            <v>Distance Education DLDINSP</v>
          </cell>
          <cell r="K100" t="str">
            <v>jwo</v>
          </cell>
          <cell r="O100">
            <v>1</v>
          </cell>
          <cell r="P100">
            <v>3</v>
          </cell>
          <cell r="Q100">
            <v>3</v>
          </cell>
          <cell r="R100">
            <v>38257</v>
          </cell>
          <cell r="S100">
            <v>20</v>
          </cell>
          <cell r="T100">
            <v>0</v>
          </cell>
          <cell r="V100">
            <v>0</v>
          </cell>
          <cell r="W100">
            <v>0</v>
          </cell>
          <cell r="X100">
            <v>0</v>
          </cell>
          <cell r="Y100">
            <v>544.625</v>
          </cell>
          <cell r="Z100">
            <v>86.499900734564179</v>
          </cell>
          <cell r="AA100">
            <v>0.4764740917212627</v>
          </cell>
          <cell r="AC100">
            <v>38299</v>
          </cell>
          <cell r="AD100">
            <v>38257</v>
          </cell>
        </row>
        <row r="101">
          <cell r="Q101">
            <v>0</v>
          </cell>
          <cell r="R101">
            <v>38257</v>
          </cell>
          <cell r="S101">
            <v>20</v>
          </cell>
          <cell r="T101">
            <v>0</v>
          </cell>
          <cell r="V101">
            <v>0</v>
          </cell>
          <cell r="W101">
            <v>0</v>
          </cell>
          <cell r="X101">
            <v>0</v>
          </cell>
          <cell r="Y101">
            <v>544.625</v>
          </cell>
          <cell r="Z101">
            <v>86.499900734564179</v>
          </cell>
          <cell r="AA101">
            <v>0</v>
          </cell>
        </row>
        <row r="102">
          <cell r="A102" t="str">
            <v>Team Config Mgt</v>
          </cell>
          <cell r="B102" t="str">
            <v>CODEINSP</v>
          </cell>
          <cell r="C102" t="str">
            <v>Team Config Mgt CODEINSP</v>
          </cell>
          <cell r="K102" t="str">
            <v>jwo</v>
          </cell>
          <cell r="O102">
            <v>1</v>
          </cell>
          <cell r="P102">
            <v>12</v>
          </cell>
          <cell r="Q102">
            <v>12</v>
          </cell>
          <cell r="R102">
            <v>38257</v>
          </cell>
          <cell r="S102">
            <v>20</v>
          </cell>
          <cell r="T102">
            <v>0</v>
          </cell>
          <cell r="V102">
            <v>0</v>
          </cell>
          <cell r="W102">
            <v>0</v>
          </cell>
          <cell r="X102">
            <v>0</v>
          </cell>
          <cell r="Y102">
            <v>556.625</v>
          </cell>
          <cell r="Z102">
            <v>88.405797101449224</v>
          </cell>
          <cell r="AA102">
            <v>1.9058963668850508</v>
          </cell>
          <cell r="AC102">
            <v>38299</v>
          </cell>
          <cell r="AD102">
            <v>38257</v>
          </cell>
        </row>
        <row r="103">
          <cell r="Q103">
            <v>0</v>
          </cell>
          <cell r="R103">
            <v>38257</v>
          </cell>
          <cell r="S103">
            <v>20</v>
          </cell>
          <cell r="T103">
            <v>0</v>
          </cell>
          <cell r="V103">
            <v>0</v>
          </cell>
          <cell r="W103">
            <v>0</v>
          </cell>
          <cell r="X103">
            <v>0</v>
          </cell>
          <cell r="Y103">
            <v>556.625</v>
          </cell>
          <cell r="Z103">
            <v>88.405797101449224</v>
          </cell>
          <cell r="AA103">
            <v>0</v>
          </cell>
        </row>
        <row r="104">
          <cell r="A104" t="str">
            <v>PTS</v>
          </cell>
          <cell r="B104" t="str">
            <v>CODE</v>
          </cell>
          <cell r="C104" t="str">
            <v>Develop PTS strategy briefing</v>
          </cell>
          <cell r="K104" t="str">
            <v>jwo</v>
          </cell>
          <cell r="O104">
            <v>1</v>
          </cell>
          <cell r="P104">
            <v>20</v>
          </cell>
          <cell r="Q104">
            <v>20</v>
          </cell>
          <cell r="R104">
            <v>38264</v>
          </cell>
          <cell r="S104">
            <v>21</v>
          </cell>
          <cell r="T104">
            <v>0</v>
          </cell>
          <cell r="V104">
            <v>0</v>
          </cell>
          <cell r="W104">
            <v>0</v>
          </cell>
          <cell r="X104">
            <v>0</v>
          </cell>
          <cell r="Y104">
            <v>576.625</v>
          </cell>
          <cell r="Z104">
            <v>91.582291046257637</v>
          </cell>
          <cell r="AA104">
            <v>3.176493944808418</v>
          </cell>
          <cell r="AC104">
            <v>38306</v>
          </cell>
          <cell r="AD104">
            <v>38264</v>
          </cell>
        </row>
        <row r="105">
          <cell r="A105" t="str">
            <v>PTS</v>
          </cell>
          <cell r="B105" t="str">
            <v>CODE</v>
          </cell>
          <cell r="C105" t="str">
            <v>Form PTS strategic planning team</v>
          </cell>
          <cell r="K105" t="str">
            <v>jwo</v>
          </cell>
          <cell r="O105">
            <v>1</v>
          </cell>
          <cell r="P105">
            <v>20</v>
          </cell>
          <cell r="Q105">
            <v>20</v>
          </cell>
          <cell r="R105">
            <v>38264</v>
          </cell>
          <cell r="S105">
            <v>21</v>
          </cell>
          <cell r="T105">
            <v>0</v>
          </cell>
          <cell r="V105">
            <v>0</v>
          </cell>
          <cell r="W105">
            <v>0</v>
          </cell>
          <cell r="X105">
            <v>0</v>
          </cell>
          <cell r="Y105">
            <v>596.625</v>
          </cell>
          <cell r="Z105">
            <v>94.758784991066051</v>
          </cell>
          <cell r="AA105">
            <v>3.176493944808418</v>
          </cell>
          <cell r="AC105">
            <v>38313</v>
          </cell>
          <cell r="AD105">
            <v>38264</v>
          </cell>
        </row>
        <row r="106">
          <cell r="Q106">
            <v>0</v>
          </cell>
          <cell r="R106">
            <v>38264</v>
          </cell>
          <cell r="S106">
            <v>21</v>
          </cell>
          <cell r="T106">
            <v>0</v>
          </cell>
          <cell r="V106">
            <v>0</v>
          </cell>
          <cell r="W106">
            <v>0</v>
          </cell>
          <cell r="X106">
            <v>0</v>
          </cell>
          <cell r="Y106">
            <v>596.625</v>
          </cell>
          <cell r="Z106">
            <v>94.758784991066051</v>
          </cell>
          <cell r="AA106">
            <v>0</v>
          </cell>
        </row>
        <row r="107">
          <cell r="A107" t="str">
            <v>SEPG</v>
          </cell>
          <cell r="B107" t="str">
            <v>PLAN</v>
          </cell>
          <cell r="C107" t="str">
            <v>SEPG PLAN</v>
          </cell>
          <cell r="K107" t="str">
            <v>jwo</v>
          </cell>
          <cell r="O107">
            <v>1</v>
          </cell>
          <cell r="P107">
            <v>4</v>
          </cell>
          <cell r="Q107">
            <v>4</v>
          </cell>
          <cell r="R107">
            <v>38271</v>
          </cell>
          <cell r="S107">
            <v>22</v>
          </cell>
          <cell r="T107">
            <v>0.99999999999999833</v>
          </cell>
          <cell r="V107">
            <v>0</v>
          </cell>
          <cell r="W107">
            <v>0</v>
          </cell>
          <cell r="X107">
            <v>0</v>
          </cell>
          <cell r="Y107">
            <v>600.625</v>
          </cell>
          <cell r="Z107">
            <v>95.394083780027728</v>
          </cell>
          <cell r="AA107">
            <v>0.63529878896168346</v>
          </cell>
          <cell r="AC107">
            <v>38313</v>
          </cell>
          <cell r="AD107">
            <v>38271</v>
          </cell>
        </row>
        <row r="108">
          <cell r="A108" t="str">
            <v>SEPG</v>
          </cell>
          <cell r="B108" t="str">
            <v>CODE</v>
          </cell>
          <cell r="C108" t="str">
            <v>SEPG CODE</v>
          </cell>
          <cell r="K108" t="str">
            <v>jwo</v>
          </cell>
          <cell r="O108">
            <v>1</v>
          </cell>
          <cell r="P108">
            <v>15</v>
          </cell>
          <cell r="Q108">
            <v>15</v>
          </cell>
          <cell r="R108">
            <v>38271</v>
          </cell>
          <cell r="S108">
            <v>22</v>
          </cell>
          <cell r="T108">
            <v>0</v>
          </cell>
          <cell r="V108">
            <v>0</v>
          </cell>
          <cell r="W108">
            <v>0</v>
          </cell>
          <cell r="X108">
            <v>0</v>
          </cell>
          <cell r="Y108">
            <v>615.625</v>
          </cell>
          <cell r="Z108">
            <v>97.776454238634045</v>
          </cell>
          <cell r="AA108">
            <v>2.3823704586063132</v>
          </cell>
          <cell r="AC108">
            <v>38320</v>
          </cell>
          <cell r="AD108">
            <v>38271</v>
          </cell>
        </row>
        <row r="109">
          <cell r="A109" t="str">
            <v>SEPG</v>
          </cell>
          <cell r="B109" t="str">
            <v>CODEINSP</v>
          </cell>
          <cell r="C109" t="str">
            <v>SEPG CODEINSP</v>
          </cell>
          <cell r="K109" t="str">
            <v>jwo</v>
          </cell>
          <cell r="O109">
            <v>1</v>
          </cell>
          <cell r="P109">
            <v>10</v>
          </cell>
          <cell r="Q109">
            <v>10</v>
          </cell>
          <cell r="R109">
            <v>38271</v>
          </cell>
          <cell r="S109">
            <v>22</v>
          </cell>
          <cell r="T109">
            <v>0</v>
          </cell>
          <cell r="V109">
            <v>0</v>
          </cell>
          <cell r="W109">
            <v>0</v>
          </cell>
          <cell r="X109">
            <v>0</v>
          </cell>
          <cell r="Y109">
            <v>625.625</v>
          </cell>
          <cell r="Z109">
            <v>99.364701211038252</v>
          </cell>
          <cell r="AA109">
            <v>1.588246972404209</v>
          </cell>
          <cell r="AC109">
            <v>38320</v>
          </cell>
          <cell r="AD109">
            <v>38271</v>
          </cell>
        </row>
        <row r="110">
          <cell r="Q110">
            <v>0</v>
          </cell>
          <cell r="R110">
            <v>38271</v>
          </cell>
          <cell r="S110">
            <v>22</v>
          </cell>
          <cell r="T110">
            <v>0</v>
          </cell>
          <cell r="V110">
            <v>0</v>
          </cell>
          <cell r="W110">
            <v>0</v>
          </cell>
          <cell r="X110">
            <v>0</v>
          </cell>
          <cell r="Y110">
            <v>625.625</v>
          </cell>
          <cell r="Z110">
            <v>99.364701211038252</v>
          </cell>
          <cell r="AA110">
            <v>0</v>
          </cell>
        </row>
        <row r="111">
          <cell r="C111" t="str">
            <v>***Relaunch***</v>
          </cell>
          <cell r="K111" t="str">
            <v>jwo</v>
          </cell>
          <cell r="L111">
            <v>0</v>
          </cell>
          <cell r="N111">
            <v>0</v>
          </cell>
          <cell r="O111">
            <v>0</v>
          </cell>
          <cell r="P111">
            <v>0</v>
          </cell>
          <cell r="Q111">
            <v>0</v>
          </cell>
          <cell r="R111">
            <v>38271</v>
          </cell>
          <cell r="S111">
            <v>22</v>
          </cell>
          <cell r="T111">
            <v>0</v>
          </cell>
          <cell r="V111">
            <v>0</v>
          </cell>
          <cell r="W111">
            <v>0</v>
          </cell>
          <cell r="X111">
            <v>0</v>
          </cell>
          <cell r="Y111">
            <v>625.625</v>
          </cell>
          <cell r="Z111">
            <v>99.364701211038252</v>
          </cell>
          <cell r="AA111">
            <v>0</v>
          </cell>
        </row>
      </sheetData>
      <sheetData sheetId="14">
        <row r="7">
          <cell r="A7" t="str">
            <v>Date</v>
          </cell>
          <cell r="B7" t="str">
            <v>Week</v>
          </cell>
          <cell r="C7" t="str">
            <v>Planned Hours</v>
          </cell>
          <cell r="D7" t="str">
            <v>Cumulative Planned Hours</v>
          </cell>
          <cell r="E7" t="str">
            <v>Actual Hours</v>
          </cell>
          <cell r="F7" t="str">
            <v>Cumulative Actual Hours</v>
          </cell>
          <cell r="G7" t="str">
            <v>Planned Value</v>
          </cell>
          <cell r="H7" t="str">
            <v>Cumulative Planned Value</v>
          </cell>
          <cell r="I7" t="str">
            <v>Earned Value</v>
          </cell>
          <cell r="J7" t="str">
            <v>Cumulative EV</v>
          </cell>
          <cell r="K7" t="str">
            <v>Predicted Hours</v>
          </cell>
          <cell r="L7" t="str">
            <v>Cumulative Predicted Hours</v>
          </cell>
          <cell r="M7" t="str">
            <v>Predicted Earned Value</v>
          </cell>
          <cell r="N7" t="str">
            <v>Cumulative Predicted Earned Value</v>
          </cell>
        </row>
        <row r="8">
          <cell r="A8">
            <v>38124</v>
          </cell>
          <cell r="B8">
            <v>1</v>
          </cell>
          <cell r="C8">
            <v>35</v>
          </cell>
          <cell r="D8">
            <v>35</v>
          </cell>
          <cell r="E8">
            <v>31.24722222222222</v>
          </cell>
          <cell r="F8">
            <v>31.24722222222222</v>
          </cell>
          <cell r="G8">
            <v>4.7647409172126265</v>
          </cell>
          <cell r="H8">
            <v>4.7647409172126265</v>
          </cell>
          <cell r="I8">
            <v>4.7647409172126265</v>
          </cell>
          <cell r="J8">
            <v>4.7647409172126265</v>
          </cell>
          <cell r="M8">
            <v>4.7647409172126265</v>
          </cell>
          <cell r="N8">
            <v>4.7647409172126265</v>
          </cell>
        </row>
        <row r="9">
          <cell r="A9">
            <v>38131</v>
          </cell>
          <cell r="B9">
            <v>2</v>
          </cell>
          <cell r="C9">
            <v>35</v>
          </cell>
          <cell r="D9">
            <v>70</v>
          </cell>
          <cell r="E9">
            <v>32.763611111111132</v>
          </cell>
          <cell r="F9">
            <v>64.010833333333352</v>
          </cell>
          <cell r="G9">
            <v>6.3529878896168359</v>
          </cell>
          <cell r="H9">
            <v>11.117728806829462</v>
          </cell>
          <cell r="I9">
            <v>6.3529878896168359</v>
          </cell>
          <cell r="J9">
            <v>11.117728806829462</v>
          </cell>
          <cell r="M9">
            <v>6.3529878896168359</v>
          </cell>
          <cell r="N9">
            <v>11.117728806829462</v>
          </cell>
        </row>
        <row r="10">
          <cell r="A10">
            <v>38138</v>
          </cell>
          <cell r="B10">
            <v>3</v>
          </cell>
          <cell r="C10">
            <v>30</v>
          </cell>
          <cell r="D10">
            <v>100</v>
          </cell>
          <cell r="E10">
            <v>8.6961111111111009</v>
          </cell>
          <cell r="F10">
            <v>72.706944444444446</v>
          </cell>
          <cell r="G10">
            <v>3.9706174310105227</v>
          </cell>
          <cell r="H10">
            <v>15.088346237839984</v>
          </cell>
          <cell r="I10">
            <v>1.588246972404209</v>
          </cell>
          <cell r="J10">
            <v>12.70597577923367</v>
          </cell>
          <cell r="M10">
            <v>1.588246972404209</v>
          </cell>
          <cell r="N10">
            <v>12.70597577923367</v>
          </cell>
        </row>
        <row r="11">
          <cell r="A11">
            <v>38145</v>
          </cell>
          <cell r="B11">
            <v>4</v>
          </cell>
          <cell r="C11">
            <v>30</v>
          </cell>
          <cell r="D11">
            <v>130</v>
          </cell>
          <cell r="E11">
            <v>11.403888888888895</v>
          </cell>
          <cell r="F11">
            <v>84.110833333333346</v>
          </cell>
          <cell r="G11">
            <v>3.176493944808418</v>
          </cell>
          <cell r="H11">
            <v>18.264840182648403</v>
          </cell>
          <cell r="I11">
            <v>2.8588445503275763</v>
          </cell>
          <cell r="J11">
            <v>15.564820329561247</v>
          </cell>
          <cell r="M11">
            <v>2.8588445503275763</v>
          </cell>
          <cell r="N11">
            <v>15.564820329561247</v>
          </cell>
        </row>
        <row r="12">
          <cell r="A12">
            <v>38152</v>
          </cell>
          <cell r="B12">
            <v>5</v>
          </cell>
          <cell r="C12">
            <v>30</v>
          </cell>
          <cell r="D12">
            <v>160</v>
          </cell>
          <cell r="E12">
            <v>14.099722222222201</v>
          </cell>
          <cell r="F12">
            <v>98.210555555555544</v>
          </cell>
          <cell r="G12">
            <v>6.5118125868572561</v>
          </cell>
          <cell r="H12">
            <v>24.77665276950566</v>
          </cell>
          <cell r="I12">
            <v>1.588246972404209</v>
          </cell>
          <cell r="J12">
            <v>17.153067301965457</v>
          </cell>
          <cell r="M12">
            <v>3.5918816145141337</v>
          </cell>
          <cell r="N12">
            <v>19.15670194407538</v>
          </cell>
        </row>
        <row r="13">
          <cell r="A13">
            <v>38159</v>
          </cell>
          <cell r="B13">
            <v>6</v>
          </cell>
          <cell r="C13">
            <v>30</v>
          </cell>
          <cell r="D13">
            <v>190</v>
          </cell>
          <cell r="G13">
            <v>5.0029779630732589</v>
          </cell>
          <cell r="H13">
            <v>29.779630732578919</v>
          </cell>
          <cell r="M13">
            <v>3.5918816145141337</v>
          </cell>
          <cell r="N13">
            <v>22.748583558589512</v>
          </cell>
        </row>
        <row r="14">
          <cell r="A14">
            <v>38166</v>
          </cell>
          <cell r="B14">
            <v>7</v>
          </cell>
          <cell r="C14">
            <v>30</v>
          </cell>
          <cell r="D14">
            <v>220</v>
          </cell>
          <cell r="G14">
            <v>5.0823903116934694</v>
          </cell>
          <cell r="H14">
            <v>34.862021044272389</v>
          </cell>
          <cell r="M14">
            <v>3.5918816145141337</v>
          </cell>
          <cell r="N14">
            <v>26.340465173103645</v>
          </cell>
        </row>
        <row r="15">
          <cell r="A15">
            <v>38173</v>
          </cell>
          <cell r="B15">
            <v>8</v>
          </cell>
          <cell r="C15">
            <v>30</v>
          </cell>
          <cell r="D15">
            <v>250</v>
          </cell>
          <cell r="G15">
            <v>4.7845940043676798</v>
          </cell>
          <cell r="H15">
            <v>39.646615048640072</v>
          </cell>
          <cell r="M15">
            <v>3.5918816145141337</v>
          </cell>
          <cell r="N15">
            <v>29.932346787617778</v>
          </cell>
        </row>
        <row r="16">
          <cell r="A16">
            <v>38180</v>
          </cell>
          <cell r="B16">
            <v>9</v>
          </cell>
          <cell r="C16">
            <v>30</v>
          </cell>
          <cell r="D16">
            <v>280</v>
          </cell>
          <cell r="G16">
            <v>0.31764939448084173</v>
          </cell>
          <cell r="H16">
            <v>39.964264443120911</v>
          </cell>
          <cell r="M16">
            <v>3.5918816145141337</v>
          </cell>
          <cell r="N16">
            <v>33.524228402131911</v>
          </cell>
        </row>
        <row r="17">
          <cell r="A17">
            <v>38187</v>
          </cell>
          <cell r="B17">
            <v>10</v>
          </cell>
          <cell r="C17">
            <v>10</v>
          </cell>
          <cell r="D17">
            <v>290</v>
          </cell>
          <cell r="G17">
            <v>4.844153265832837</v>
          </cell>
          <cell r="H17">
            <v>44.808417708953748</v>
          </cell>
          <cell r="M17">
            <v>1.1972938715047112</v>
          </cell>
          <cell r="N17">
            <v>34.721522273636623</v>
          </cell>
        </row>
        <row r="18">
          <cell r="A18">
            <v>38194</v>
          </cell>
          <cell r="B18">
            <v>11</v>
          </cell>
          <cell r="C18">
            <v>10</v>
          </cell>
          <cell r="D18">
            <v>300</v>
          </cell>
          <cell r="G18">
            <v>2.4220766329164185</v>
          </cell>
          <cell r="H18">
            <v>47.23049434187017</v>
          </cell>
          <cell r="M18">
            <v>1.1972938715047112</v>
          </cell>
          <cell r="N18">
            <v>35.918816145141335</v>
          </cell>
        </row>
        <row r="19">
          <cell r="A19">
            <v>38201</v>
          </cell>
          <cell r="B19">
            <v>12</v>
          </cell>
          <cell r="C19">
            <v>10</v>
          </cell>
          <cell r="D19">
            <v>310</v>
          </cell>
          <cell r="G19">
            <v>0</v>
          </cell>
          <cell r="H19">
            <v>47.23049434187017</v>
          </cell>
          <cell r="M19">
            <v>1.1972938715047112</v>
          </cell>
          <cell r="N19">
            <v>37.116110016646047</v>
          </cell>
        </row>
        <row r="20">
          <cell r="A20">
            <v>38208</v>
          </cell>
          <cell r="B20">
            <v>13</v>
          </cell>
          <cell r="C20">
            <v>30</v>
          </cell>
          <cell r="D20">
            <v>340</v>
          </cell>
          <cell r="G20">
            <v>2.4220766329164185</v>
          </cell>
          <cell r="H20">
            <v>49.652570974786585</v>
          </cell>
          <cell r="M20">
            <v>3.5918816145141337</v>
          </cell>
          <cell r="N20">
            <v>40.707991631160183</v>
          </cell>
        </row>
        <row r="21">
          <cell r="A21">
            <v>38215</v>
          </cell>
          <cell r="B21">
            <v>14</v>
          </cell>
          <cell r="C21">
            <v>30</v>
          </cell>
          <cell r="D21">
            <v>370</v>
          </cell>
          <cell r="G21">
            <v>0</v>
          </cell>
          <cell r="H21">
            <v>49.652570974786585</v>
          </cell>
          <cell r="M21">
            <v>3.5918816145141337</v>
          </cell>
          <cell r="N21">
            <v>44.29987324567432</v>
          </cell>
        </row>
        <row r="22">
          <cell r="A22">
            <v>38222</v>
          </cell>
          <cell r="B22">
            <v>15</v>
          </cell>
          <cell r="C22">
            <v>30</v>
          </cell>
          <cell r="D22">
            <v>400</v>
          </cell>
          <cell r="G22">
            <v>12.705975779233672</v>
          </cell>
          <cell r="H22">
            <v>62.358546754020253</v>
          </cell>
          <cell r="M22">
            <v>3.5918816145141337</v>
          </cell>
          <cell r="N22">
            <v>47.891754860188456</v>
          </cell>
        </row>
        <row r="23">
          <cell r="A23">
            <v>38229</v>
          </cell>
          <cell r="B23">
            <v>16</v>
          </cell>
          <cell r="C23">
            <v>30</v>
          </cell>
          <cell r="D23">
            <v>430</v>
          </cell>
          <cell r="G23">
            <v>0</v>
          </cell>
          <cell r="H23">
            <v>62.358546754020253</v>
          </cell>
          <cell r="M23">
            <v>3.5918816145141337</v>
          </cell>
          <cell r="N23">
            <v>51.483636474702593</v>
          </cell>
        </row>
        <row r="24">
          <cell r="A24">
            <v>38236</v>
          </cell>
          <cell r="B24">
            <v>17</v>
          </cell>
          <cell r="C24">
            <v>30</v>
          </cell>
          <cell r="D24">
            <v>460</v>
          </cell>
          <cell r="G24">
            <v>6.3529878896168359</v>
          </cell>
          <cell r="H24">
            <v>68.711534643637094</v>
          </cell>
          <cell r="M24">
            <v>3.5918816145141337</v>
          </cell>
          <cell r="N24">
            <v>55.075518089216729</v>
          </cell>
        </row>
        <row r="25">
          <cell r="A25">
            <v>38243</v>
          </cell>
          <cell r="B25">
            <v>18</v>
          </cell>
          <cell r="C25">
            <v>30</v>
          </cell>
          <cell r="D25">
            <v>490</v>
          </cell>
          <cell r="G25">
            <v>8.4177089537423075</v>
          </cell>
          <cell r="H25">
            <v>77.1292435973794</v>
          </cell>
          <cell r="M25">
            <v>3.5918816145141337</v>
          </cell>
          <cell r="N25">
            <v>58.667399703730865</v>
          </cell>
        </row>
        <row r="26">
          <cell r="A26">
            <v>38250</v>
          </cell>
          <cell r="B26">
            <v>19</v>
          </cell>
          <cell r="C26">
            <v>40</v>
          </cell>
          <cell r="D26">
            <v>530</v>
          </cell>
          <cell r="G26">
            <v>6.3529878896168377</v>
          </cell>
          <cell r="H26">
            <v>83.482231486996241</v>
          </cell>
          <cell r="M26">
            <v>4.7891754860188449</v>
          </cell>
          <cell r="N26">
            <v>63.456575189749714</v>
          </cell>
        </row>
        <row r="27">
          <cell r="A27">
            <v>38257</v>
          </cell>
          <cell r="B27">
            <v>20</v>
          </cell>
          <cell r="C27">
            <v>40</v>
          </cell>
          <cell r="D27">
            <v>570</v>
          </cell>
          <cell r="G27">
            <v>4.9235656144530475</v>
          </cell>
          <cell r="H27">
            <v>88.405797101449295</v>
          </cell>
          <cell r="M27">
            <v>4.7891754860188449</v>
          </cell>
          <cell r="N27">
            <v>68.245750675768562</v>
          </cell>
        </row>
        <row r="28">
          <cell r="A28">
            <v>38264</v>
          </cell>
          <cell r="B28">
            <v>21</v>
          </cell>
          <cell r="C28">
            <v>30</v>
          </cell>
          <cell r="D28">
            <v>600</v>
          </cell>
          <cell r="G28">
            <v>6.3529878896168359</v>
          </cell>
          <cell r="H28">
            <v>94.758784991066136</v>
          </cell>
          <cell r="M28">
            <v>3.5918816145141337</v>
          </cell>
          <cell r="N28">
            <v>71.837632290282698</v>
          </cell>
        </row>
        <row r="29">
          <cell r="A29">
            <v>38271</v>
          </cell>
          <cell r="B29">
            <v>22</v>
          </cell>
          <cell r="C29">
            <v>35</v>
          </cell>
          <cell r="D29">
            <v>635</v>
          </cell>
          <cell r="G29">
            <v>5.2412150089338896</v>
          </cell>
          <cell r="H29">
            <v>100</v>
          </cell>
          <cell r="M29">
            <v>4.1905285502664897</v>
          </cell>
          <cell r="N29">
            <v>76.028160840549191</v>
          </cell>
        </row>
        <row r="30">
          <cell r="A30">
            <v>38278</v>
          </cell>
          <cell r="B30">
            <v>23</v>
          </cell>
          <cell r="M30">
            <v>3.4558254927522349</v>
          </cell>
          <cell r="N30">
            <v>79.483986333301431</v>
          </cell>
        </row>
        <row r="31">
          <cell r="A31">
            <v>38285</v>
          </cell>
          <cell r="B31">
            <v>24</v>
          </cell>
          <cell r="M31">
            <v>3.4558254927522349</v>
          </cell>
          <cell r="N31">
            <v>82.939811826053671</v>
          </cell>
        </row>
        <row r="32">
          <cell r="A32">
            <v>38292</v>
          </cell>
          <cell r="B32">
            <v>25</v>
          </cell>
          <cell r="M32">
            <v>3.4558254927522349</v>
          </cell>
          <cell r="N32">
            <v>86.39563731880591</v>
          </cell>
        </row>
        <row r="33">
          <cell r="A33">
            <v>38299</v>
          </cell>
          <cell r="B33">
            <v>26</v>
          </cell>
          <cell r="M33">
            <v>3.4558254927522349</v>
          </cell>
          <cell r="N33">
            <v>89.85146281155815</v>
          </cell>
        </row>
        <row r="34">
          <cell r="A34">
            <v>38306</v>
          </cell>
          <cell r="B34">
            <v>27</v>
          </cell>
          <cell r="M34">
            <v>3.4558254927522349</v>
          </cell>
          <cell r="N34">
            <v>93.30728830431039</v>
          </cell>
        </row>
        <row r="35">
          <cell r="A35">
            <v>38313</v>
          </cell>
          <cell r="B35">
            <v>28</v>
          </cell>
          <cell r="M35">
            <v>3.4558254927522349</v>
          </cell>
          <cell r="N35">
            <v>96.76311379706263</v>
          </cell>
        </row>
        <row r="36">
          <cell r="A36">
            <v>38320</v>
          </cell>
          <cell r="B36">
            <v>29</v>
          </cell>
          <cell r="M36">
            <v>3.2368862029373653</v>
          </cell>
          <cell r="N36">
            <v>100</v>
          </cell>
        </row>
      </sheetData>
      <sheetData sheetId="15">
        <row r="6">
          <cell r="A6" t="str">
            <v>Issue or Risk Number</v>
          </cell>
          <cell r="B6" t="str">
            <v xml:space="preserve"> R=Risk
 I=Issue</v>
          </cell>
          <cell r="C6" t="str">
            <v>Date Created</v>
          </cell>
          <cell r="D6" t="str">
            <v xml:space="preserve"> P=Personal
 T=Team</v>
          </cell>
          <cell r="E6" t="str">
            <v xml:space="preserve"> Likelihood (H,M,L)</v>
          </cell>
          <cell r="F6" t="str">
            <v xml:space="preserve"> Impact (H,M,L)</v>
          </cell>
          <cell r="G6" t="str">
            <v>Owner</v>
          </cell>
          <cell r="H6" t="str">
            <v>Follow-up Date</v>
          </cell>
          <cell r="I6" t="str">
            <v>Description</v>
          </cell>
          <cell r="J6" t="str">
            <v>Current Status</v>
          </cell>
          <cell r="K6" t="str">
            <v>Date Status Changed</v>
          </cell>
        </row>
      </sheetData>
      <sheetData sheetId="16"/>
      <sheetData sheetId="17">
        <row r="6">
          <cell r="A6" t="str">
            <v>Assembly</v>
          </cell>
          <cell r="B6" t="str">
            <v>Phase</v>
          </cell>
          <cell r="C6" t="str">
            <v>Task</v>
          </cell>
          <cell r="D6" t="str">
            <v>Date</v>
          </cell>
          <cell r="E6" t="str">
            <v>Start</v>
          </cell>
          <cell r="F6" t="str">
            <v>Int.</v>
          </cell>
          <cell r="G6" t="str">
            <v>Stop</v>
          </cell>
          <cell r="H6" t="str">
            <v>Delta</v>
          </cell>
          <cell r="I6" t="str">
            <v>Comments</v>
          </cell>
        </row>
        <row r="7">
          <cell r="A7" t="str">
            <v>SYSTEM</v>
          </cell>
          <cell r="B7" t="str">
            <v>PLAN</v>
          </cell>
          <cell r="C7" t="str">
            <v>SEI TSP Team Launch MAY 17-21</v>
          </cell>
          <cell r="D7">
            <v>38124</v>
          </cell>
          <cell r="E7">
            <v>0.60416666666666696</v>
          </cell>
          <cell r="G7">
            <v>0.70833333333333304</v>
          </cell>
          <cell r="H7">
            <v>150</v>
          </cell>
        </row>
        <row r="8">
          <cell r="A8" t="str">
            <v>SYSTEM</v>
          </cell>
          <cell r="B8" t="str">
            <v>PLAN</v>
          </cell>
          <cell r="C8" t="str">
            <v>SEI TSP Team Launch MAY 17-21</v>
          </cell>
          <cell r="D8">
            <v>38125</v>
          </cell>
          <cell r="E8">
            <v>0.36458333333333298</v>
          </cell>
          <cell r="F8">
            <v>120</v>
          </cell>
          <cell r="G8">
            <v>0.70833333333333304</v>
          </cell>
          <cell r="H8">
            <v>375</v>
          </cell>
        </row>
        <row r="9">
          <cell r="A9" t="str">
            <v>SYSTEM</v>
          </cell>
          <cell r="B9" t="str">
            <v>PLAN</v>
          </cell>
          <cell r="C9" t="str">
            <v>SEI TSP Team Launch MAY 17-21</v>
          </cell>
          <cell r="D9">
            <v>38126</v>
          </cell>
          <cell r="E9">
            <v>0.35416666666666702</v>
          </cell>
          <cell r="F9">
            <v>140</v>
          </cell>
          <cell r="G9">
            <v>0.79166666666666696</v>
          </cell>
          <cell r="H9">
            <v>490</v>
          </cell>
        </row>
        <row r="10">
          <cell r="A10" t="str">
            <v>SYSTEM</v>
          </cell>
          <cell r="B10" t="str">
            <v>PLAN</v>
          </cell>
          <cell r="C10" t="str">
            <v>SEI TSP Team Launch MAY 17-21</v>
          </cell>
          <cell r="D10">
            <v>38127</v>
          </cell>
          <cell r="E10">
            <v>0.4375</v>
          </cell>
          <cell r="G10">
            <v>0.5</v>
          </cell>
          <cell r="H10">
            <v>90</v>
          </cell>
        </row>
        <row r="11">
          <cell r="A11" t="str">
            <v>SEPG</v>
          </cell>
          <cell r="B11" t="str">
            <v>PLAN</v>
          </cell>
          <cell r="C11" t="str">
            <v>SEPG PLAN</v>
          </cell>
          <cell r="D11">
            <v>38127</v>
          </cell>
          <cell r="E11">
            <v>0.5</v>
          </cell>
          <cell r="G11">
            <v>0.54166666666666696</v>
          </cell>
          <cell r="H11">
            <v>59.999999999999901</v>
          </cell>
        </row>
        <row r="12">
          <cell r="A12" t="str">
            <v>Marketing</v>
          </cell>
          <cell r="B12" t="str">
            <v>PLAN</v>
          </cell>
          <cell r="C12" t="str">
            <v>Marketing Support</v>
          </cell>
          <cell r="D12">
            <v>38127</v>
          </cell>
          <cell r="E12">
            <v>0.5625</v>
          </cell>
          <cell r="G12">
            <v>0.60416666666666696</v>
          </cell>
          <cell r="H12">
            <v>59.999999999999901</v>
          </cell>
          <cell r="I12" t="str">
            <v>vv</v>
          </cell>
        </row>
        <row r="13">
          <cell r="A13" t="str">
            <v>SYSTEM</v>
          </cell>
          <cell r="B13" t="str">
            <v>PLAN</v>
          </cell>
          <cell r="C13" t="str">
            <v>SEI TSP Team Launch MAY 17-21</v>
          </cell>
          <cell r="D13">
            <v>38127</v>
          </cell>
          <cell r="E13">
            <v>0.90773148148148097</v>
          </cell>
          <cell r="G13">
            <v>2.04861111111111E-3</v>
          </cell>
          <cell r="H13">
            <v>135.816666666667</v>
          </cell>
        </row>
        <row r="14">
          <cell r="A14" t="str">
            <v>SYSTEM</v>
          </cell>
          <cell r="B14" t="str">
            <v>PLAN</v>
          </cell>
          <cell r="C14" t="str">
            <v>SEI TSP Team Launch MAY 17-21</v>
          </cell>
          <cell r="D14">
            <v>38128</v>
          </cell>
          <cell r="E14">
            <v>0.375</v>
          </cell>
          <cell r="G14">
            <v>0.5625</v>
          </cell>
          <cell r="H14">
            <v>270</v>
          </cell>
        </row>
        <row r="15">
          <cell r="A15" t="str">
            <v>Marketing</v>
          </cell>
          <cell r="B15" t="str">
            <v>CODE</v>
          </cell>
          <cell r="C15" t="str">
            <v>ITEA Presentation (Due date slipped to May 14)</v>
          </cell>
          <cell r="D15">
            <v>38128</v>
          </cell>
          <cell r="E15">
            <v>0.72108796296296296</v>
          </cell>
          <cell r="F15">
            <v>35</v>
          </cell>
          <cell r="G15">
            <v>0.8125</v>
          </cell>
          <cell r="H15">
            <v>96.633333333333297</v>
          </cell>
        </row>
        <row r="16">
          <cell r="A16" t="str">
            <v>Marketing</v>
          </cell>
          <cell r="B16" t="str">
            <v>CODE</v>
          </cell>
          <cell r="C16" t="str">
            <v>ITEA Presentation (Due date slipped to May 14)</v>
          </cell>
          <cell r="D16">
            <v>38130</v>
          </cell>
          <cell r="E16">
            <v>0.862453703703704</v>
          </cell>
          <cell r="G16">
            <v>0.96480324074074097</v>
          </cell>
          <cell r="H16">
            <v>147.38333333333301</v>
          </cell>
        </row>
        <row r="17">
          <cell r="A17" t="str">
            <v>Teach PSP I and PSP II</v>
          </cell>
          <cell r="B17" t="str">
            <v>ST</v>
          </cell>
          <cell r="C17" t="str">
            <v>Teach PSP I and PSP II ST 5/24/04</v>
          </cell>
          <cell r="D17">
            <v>38131</v>
          </cell>
          <cell r="E17">
            <v>0.3125</v>
          </cell>
          <cell r="G17">
            <v>0.5</v>
          </cell>
          <cell r="H17">
            <v>270</v>
          </cell>
        </row>
        <row r="18">
          <cell r="A18" t="str">
            <v>Teach PSP I and PSP II</v>
          </cell>
          <cell r="B18" t="str">
            <v>ST</v>
          </cell>
          <cell r="C18" t="str">
            <v>Teach PSP I and PSP II ST 5/24/04</v>
          </cell>
          <cell r="D18">
            <v>38131</v>
          </cell>
          <cell r="E18">
            <v>0.62013888888888902</v>
          </cell>
          <cell r="G18">
            <v>0.70833333333333304</v>
          </cell>
          <cell r="H18">
            <v>127</v>
          </cell>
        </row>
        <row r="19">
          <cell r="A19" t="str">
            <v>Marketing</v>
          </cell>
          <cell r="B19" t="str">
            <v>CODE</v>
          </cell>
          <cell r="C19" t="str">
            <v>ITEA Presentation (Due date slipped to May 14)</v>
          </cell>
          <cell r="D19">
            <v>38131</v>
          </cell>
          <cell r="E19">
            <v>0.89563657407407404</v>
          </cell>
          <cell r="F19">
            <v>15</v>
          </cell>
          <cell r="G19">
            <v>0.98526620370370399</v>
          </cell>
          <cell r="H19">
            <v>114.066666666667</v>
          </cell>
        </row>
        <row r="20">
          <cell r="A20" t="str">
            <v>Marketing</v>
          </cell>
          <cell r="B20" t="str">
            <v>CODE</v>
          </cell>
          <cell r="C20" t="str">
            <v>ITEA Presentation (Due date slipped to May 14)</v>
          </cell>
          <cell r="D20">
            <v>38132</v>
          </cell>
          <cell r="E20">
            <v>0.396053240740741</v>
          </cell>
          <cell r="F20">
            <v>105</v>
          </cell>
          <cell r="G20">
            <v>0.59164351851851849</v>
          </cell>
          <cell r="H20">
            <v>176.65</v>
          </cell>
        </row>
        <row r="21">
          <cell r="A21" t="str">
            <v>TSP Team Member Handbook</v>
          </cell>
          <cell r="B21" t="str">
            <v>CODEINSP</v>
          </cell>
          <cell r="C21" t="str">
            <v>TSP Team Member Handbook Chapters 7 to 12</v>
          </cell>
          <cell r="D21">
            <v>38132</v>
          </cell>
          <cell r="E21">
            <v>0.65145833333333336</v>
          </cell>
          <cell r="G21">
            <v>0.72482638888888884</v>
          </cell>
          <cell r="H21">
            <v>105.65</v>
          </cell>
        </row>
        <row r="22">
          <cell r="A22" t="str">
            <v>TSP Team Member Handbook</v>
          </cell>
          <cell r="B22" t="str">
            <v>CODEINSP</v>
          </cell>
          <cell r="C22" t="str">
            <v>TSP Team Member Handbook Chapters 7 to 12</v>
          </cell>
          <cell r="D22">
            <v>38132</v>
          </cell>
          <cell r="E22">
            <v>0.82178240740740749</v>
          </cell>
          <cell r="F22">
            <v>20</v>
          </cell>
          <cell r="G22">
            <v>0.87656250000000002</v>
          </cell>
          <cell r="H22">
            <v>58.88333333333324</v>
          </cell>
        </row>
        <row r="23">
          <cell r="A23" t="str">
            <v>Teach PSP I and PSP II</v>
          </cell>
          <cell r="B23" t="str">
            <v>ST</v>
          </cell>
          <cell r="C23" t="str">
            <v>Teach PSP I and PSP II ST 5/24/04</v>
          </cell>
          <cell r="D23">
            <v>38133</v>
          </cell>
          <cell r="E23">
            <v>0.33833333333333332</v>
          </cell>
          <cell r="G23">
            <v>0.5</v>
          </cell>
          <cell r="H23">
            <v>232.8</v>
          </cell>
        </row>
        <row r="24">
          <cell r="A24" t="str">
            <v>TSP Team Member Handbook</v>
          </cell>
          <cell r="B24" t="str">
            <v>CODEINSP</v>
          </cell>
          <cell r="C24" t="str">
            <v>TSP Team Member Handbook Chapters 7 to 12</v>
          </cell>
          <cell r="D24">
            <v>38133</v>
          </cell>
          <cell r="E24">
            <v>0.65155092592592589</v>
          </cell>
          <cell r="G24">
            <v>0.70833333333333337</v>
          </cell>
          <cell r="H24">
            <v>81.766666666666765</v>
          </cell>
        </row>
        <row r="25">
          <cell r="A25" t="str">
            <v>Teach PSP I and PSP II</v>
          </cell>
          <cell r="B25" t="str">
            <v>ST</v>
          </cell>
          <cell r="C25" t="str">
            <v>Teach PSP I and PSP II ST 5/24/04</v>
          </cell>
          <cell r="D25">
            <v>38134</v>
          </cell>
          <cell r="E25">
            <v>0.3307060185185185</v>
          </cell>
          <cell r="F25">
            <v>15</v>
          </cell>
          <cell r="G25">
            <v>0.48002314814814812</v>
          </cell>
          <cell r="H25">
            <v>200.01666666666665</v>
          </cell>
        </row>
        <row r="26">
          <cell r="A26" t="str">
            <v>TSP Team Member Handbook</v>
          </cell>
          <cell r="B26" t="str">
            <v>CODEINSP</v>
          </cell>
          <cell r="C26" t="str">
            <v>TSP Team Member Handbook Chapters 7 to 12</v>
          </cell>
          <cell r="D26">
            <v>38134</v>
          </cell>
          <cell r="E26">
            <v>0.66666666666666663</v>
          </cell>
          <cell r="G26">
            <v>0.75146990740740749</v>
          </cell>
          <cell r="H26">
            <v>122.11666666666684</v>
          </cell>
        </row>
        <row r="27">
          <cell r="A27" t="str">
            <v>Teach PSP I and PSP II</v>
          </cell>
          <cell r="B27" t="str">
            <v>ST</v>
          </cell>
          <cell r="C27" t="str">
            <v>Teach PSP I and PSP II ST 5/24/04</v>
          </cell>
          <cell r="D27">
            <v>38135</v>
          </cell>
          <cell r="E27">
            <v>0.33333333333333331</v>
          </cell>
          <cell r="F27">
            <v>45</v>
          </cell>
          <cell r="G27">
            <v>0.58016203703703706</v>
          </cell>
          <cell r="H27">
            <v>310.43333333333339</v>
          </cell>
        </row>
        <row r="28">
          <cell r="A28" t="str">
            <v>TSP Team Member Handbook</v>
          </cell>
          <cell r="B28" t="str">
            <v>CODEINSP</v>
          </cell>
          <cell r="C28" t="str">
            <v>TSP Team Member Handbook Chapters 7 to 12</v>
          </cell>
          <cell r="D28">
            <v>38135</v>
          </cell>
          <cell r="E28">
            <v>0.80616898148148142</v>
          </cell>
          <cell r="G28">
            <v>0.92174768518518524</v>
          </cell>
          <cell r="H28">
            <v>166.43333333333351</v>
          </cell>
        </row>
        <row r="29">
          <cell r="A29" t="str">
            <v>TSP Team Member Handbook</v>
          </cell>
          <cell r="B29" t="str">
            <v>CODEINSP</v>
          </cell>
          <cell r="C29" t="str">
            <v>TSP Team Member Handbook Chapters 7 to 12</v>
          </cell>
          <cell r="D29">
            <v>38139</v>
          </cell>
          <cell r="E29">
            <v>0.88046296296296289</v>
          </cell>
          <cell r="F29">
            <v>10</v>
          </cell>
          <cell r="G29">
            <v>0.98357638888888888</v>
          </cell>
          <cell r="H29">
            <v>138.48333333333341</v>
          </cell>
        </row>
        <row r="30">
          <cell r="A30" t="str">
            <v>TSP Team Member Handbook</v>
          </cell>
          <cell r="B30" t="str">
            <v>CODEINSP</v>
          </cell>
          <cell r="C30" t="str">
            <v>TSP Team Member Handbook Chapters 7 to 12</v>
          </cell>
          <cell r="D30">
            <v>38140</v>
          </cell>
          <cell r="E30">
            <v>0.25277777777777777</v>
          </cell>
          <cell r="F30">
            <v>110</v>
          </cell>
          <cell r="G30">
            <v>0.5953356481481481</v>
          </cell>
          <cell r="H30">
            <v>383.2833333333333</v>
          </cell>
        </row>
        <row r="31">
          <cell r="A31" t="str">
            <v>TSP Team Member Handbook</v>
          </cell>
          <cell r="B31" t="str">
            <v>CODEINSP</v>
          </cell>
          <cell r="C31" t="str">
            <v>TSP Team Member Handbook Appendices</v>
          </cell>
          <cell r="D31">
            <v>38145</v>
          </cell>
          <cell r="E31">
            <v>0.7996064814814815</v>
          </cell>
          <cell r="G31">
            <v>0.8377430555555555</v>
          </cell>
          <cell r="H31">
            <v>54.916666666666565</v>
          </cell>
        </row>
        <row r="32">
          <cell r="A32" t="str">
            <v>Marketing</v>
          </cell>
          <cell r="B32" t="str">
            <v>CODE</v>
          </cell>
          <cell r="C32" t="str">
            <v>ITEA Presentation Deliver</v>
          </cell>
          <cell r="D32">
            <v>38145</v>
          </cell>
          <cell r="E32">
            <v>0.83997685185185178</v>
          </cell>
          <cell r="G32">
            <v>0.94997685185185177</v>
          </cell>
          <cell r="H32">
            <v>158.4</v>
          </cell>
        </row>
        <row r="33">
          <cell r="A33" t="str">
            <v>Marketing</v>
          </cell>
          <cell r="B33" t="str">
            <v>CODE</v>
          </cell>
          <cell r="C33" t="str">
            <v>ITEA Presentation Deliver</v>
          </cell>
          <cell r="D33">
            <v>38146</v>
          </cell>
          <cell r="E33">
            <v>0.41981481481481481</v>
          </cell>
          <cell r="F33">
            <v>35</v>
          </cell>
          <cell r="G33">
            <v>0.625</v>
          </cell>
          <cell r="H33">
            <v>260.4666666666667</v>
          </cell>
        </row>
        <row r="34">
          <cell r="A34" t="str">
            <v>TSP Team Member Handbook</v>
          </cell>
          <cell r="B34" t="str">
            <v>CODEINSP</v>
          </cell>
          <cell r="C34" t="str">
            <v>TSP Team Member Handbook Appendices</v>
          </cell>
          <cell r="D34">
            <v>38151</v>
          </cell>
          <cell r="E34">
            <v>0.89884259259259258</v>
          </cell>
          <cell r="F34">
            <v>20</v>
          </cell>
          <cell r="G34">
            <v>1.7210648148148149E-2</v>
          </cell>
          <cell r="H34">
            <v>150.44999999999999</v>
          </cell>
        </row>
        <row r="35">
          <cell r="A35" t="str">
            <v>TSP Tool Support</v>
          </cell>
          <cell r="B35" t="str">
            <v>PLAN</v>
          </cell>
          <cell r="C35" t="str">
            <v>Plan update STUWBK for new PSP</v>
          </cell>
          <cell r="D35">
            <v>38145</v>
          </cell>
          <cell r="E35">
            <v>0.79166666666666663</v>
          </cell>
          <cell r="G35">
            <v>0.83333333333333337</v>
          </cell>
          <cell r="H35">
            <v>60.000000000000107</v>
          </cell>
          <cell r="I35" t="str">
            <v>Estimated time spent planning on trip to ITEA</v>
          </cell>
        </row>
        <row r="36">
          <cell r="A36" t="str">
            <v>TSP Tool Support</v>
          </cell>
          <cell r="B36" t="str">
            <v>DLD</v>
          </cell>
          <cell r="C36" t="str">
            <v>DLD update STUWBK for new PSP</v>
          </cell>
          <cell r="D36">
            <v>38152</v>
          </cell>
          <cell r="E36">
            <v>0.57091435185185191</v>
          </cell>
          <cell r="G36">
            <v>0.6534375</v>
          </cell>
          <cell r="H36">
            <v>118.83333333333326</v>
          </cell>
        </row>
        <row r="37">
          <cell r="A37" t="str">
            <v>TSP Tool Support</v>
          </cell>
          <cell r="B37" t="str">
            <v>DLD</v>
          </cell>
          <cell r="C37" t="str">
            <v>DLD update STUWBK for new PSP</v>
          </cell>
          <cell r="D37">
            <v>38152</v>
          </cell>
          <cell r="E37">
            <v>0.65961805555555553</v>
          </cell>
          <cell r="G37">
            <v>0.68937499999999996</v>
          </cell>
          <cell r="H37">
            <v>42.85</v>
          </cell>
        </row>
        <row r="38">
          <cell r="A38" t="str">
            <v>TSP Tool Support</v>
          </cell>
          <cell r="B38" t="str">
            <v>CODE</v>
          </cell>
          <cell r="C38" t="str">
            <v>Code update STUWBK for new PSP</v>
          </cell>
          <cell r="D38">
            <v>38153</v>
          </cell>
          <cell r="E38">
            <v>0.42662037037037037</v>
          </cell>
          <cell r="G38">
            <v>0.49406250000000002</v>
          </cell>
          <cell r="H38">
            <v>97.116666666666688</v>
          </cell>
        </row>
        <row r="39">
          <cell r="A39" t="str">
            <v>TSP Tool Support</v>
          </cell>
          <cell r="B39" t="str">
            <v>CODE</v>
          </cell>
          <cell r="C39" t="str">
            <v>Code update STUWBK for new PSP</v>
          </cell>
          <cell r="D39">
            <v>38153</v>
          </cell>
          <cell r="E39">
            <v>0.56381944444444443</v>
          </cell>
          <cell r="G39">
            <v>0.67957175925925928</v>
          </cell>
          <cell r="H39">
            <v>166.68333333333339</v>
          </cell>
        </row>
      </sheetData>
      <sheetData sheetId="18">
        <row r="6">
          <cell r="A6" t="str">
            <v>Date</v>
          </cell>
          <cell r="B6" t="str">
            <v>Num</v>
          </cell>
          <cell r="C6" t="str">
            <v>Type</v>
          </cell>
          <cell r="D6" t="str">
            <v>Assembly</v>
          </cell>
          <cell r="E6" t="str">
            <v>Injected</v>
          </cell>
          <cell r="F6" t="str">
            <v>Removed</v>
          </cell>
          <cell r="G6" t="str">
            <v>Fix Time</v>
          </cell>
          <cell r="H6" t="str">
            <v>Fix Ref.</v>
          </cell>
          <cell r="I6" t="str">
            <v>Description</v>
          </cell>
        </row>
        <row r="7">
          <cell r="A7">
            <v>38152</v>
          </cell>
          <cell r="B7">
            <v>1</v>
          </cell>
          <cell r="C7">
            <v>80</v>
          </cell>
          <cell r="D7" t="str">
            <v>TSP Tool Support</v>
          </cell>
          <cell r="E7" t="str">
            <v>PLAN</v>
          </cell>
          <cell r="F7" t="str">
            <v>DLD</v>
          </cell>
          <cell r="G7">
            <v>2</v>
          </cell>
          <cell r="I7" t="str">
            <v>Missing requirement to remove PSP3 phases</v>
          </cell>
        </row>
        <row r="8">
          <cell r="A8">
            <v>38152</v>
          </cell>
          <cell r="B8">
            <v>2</v>
          </cell>
          <cell r="C8">
            <v>80</v>
          </cell>
          <cell r="D8" t="str">
            <v>TSP Tool Support</v>
          </cell>
          <cell r="E8" t="str">
            <v>PLAN</v>
          </cell>
          <cell r="F8" t="str">
            <v>DLD</v>
          </cell>
          <cell r="G8">
            <v>5</v>
          </cell>
          <cell r="I8" t="str">
            <v>Missing requirement to remove optional highlighting of PSP3 phases in SC Menus</v>
          </cell>
        </row>
        <row r="9">
          <cell r="A9">
            <v>38152</v>
          </cell>
          <cell r="B9">
            <v>3</v>
          </cell>
          <cell r="C9">
            <v>80</v>
          </cell>
          <cell r="D9" t="str">
            <v>TSP Tool Support</v>
          </cell>
          <cell r="E9" t="str">
            <v>PLAN</v>
          </cell>
          <cell r="F9" t="str">
            <v>DLD</v>
          </cell>
          <cell r="G9">
            <v>5</v>
          </cell>
          <cell r="I9" t="str">
            <v>Missing requirement to change first use of PROBE from 3A to 4A</v>
          </cell>
        </row>
        <row r="10">
          <cell r="A10">
            <v>38153</v>
          </cell>
          <cell r="B10">
            <v>4</v>
          </cell>
          <cell r="C10">
            <v>80</v>
          </cell>
          <cell r="D10" t="str">
            <v>TSP Tool Support</v>
          </cell>
          <cell r="E10" t="str">
            <v>PLAN</v>
          </cell>
          <cell r="F10" t="str">
            <v>DLD</v>
          </cell>
          <cell r="G10">
            <v>1</v>
          </cell>
          <cell r="I10" t="str">
            <v>Missing requirement to change links in plan summary headers in worksheet Summary</v>
          </cell>
        </row>
      </sheetData>
      <sheetData sheetId="19"/>
      <sheetData sheetId="20"/>
      <sheetData sheetId="21">
        <row r="1">
          <cell r="A1" t="str">
            <v>Type</v>
          </cell>
          <cell r="B1" t="str">
            <v>Description</v>
          </cell>
        </row>
        <row r="2">
          <cell r="A2">
            <v>10</v>
          </cell>
          <cell r="B2" t="str">
            <v>Documentation</v>
          </cell>
        </row>
        <row r="3">
          <cell r="A3">
            <v>20</v>
          </cell>
          <cell r="B3" t="str">
            <v>Syntax</v>
          </cell>
        </row>
        <row r="4">
          <cell r="A4">
            <v>30</v>
          </cell>
          <cell r="B4" t="str">
            <v>Build, Package</v>
          </cell>
        </row>
        <row r="5">
          <cell r="A5">
            <v>40</v>
          </cell>
          <cell r="B5" t="str">
            <v>Assignment</v>
          </cell>
        </row>
        <row r="6">
          <cell r="A6">
            <v>50</v>
          </cell>
          <cell r="B6" t="str">
            <v>Interface</v>
          </cell>
        </row>
        <row r="7">
          <cell r="A7">
            <v>60</v>
          </cell>
          <cell r="B7" t="str">
            <v>Checking</v>
          </cell>
        </row>
        <row r="8">
          <cell r="A8">
            <v>70</v>
          </cell>
          <cell r="B8" t="str">
            <v>Data</v>
          </cell>
        </row>
        <row r="9">
          <cell r="A9">
            <v>80</v>
          </cell>
          <cell r="B9" t="str">
            <v>Function</v>
          </cell>
        </row>
        <row r="10">
          <cell r="A10">
            <v>90</v>
          </cell>
          <cell r="B10" t="str">
            <v>System</v>
          </cell>
        </row>
        <row r="11">
          <cell r="A11">
            <v>100</v>
          </cell>
          <cell r="B11" t="str">
            <v>Environment</v>
          </cell>
        </row>
        <row r="12">
          <cell r="A12">
            <v>110</v>
          </cell>
          <cell r="B12" t="str">
            <v>User I/F Specification</v>
          </cell>
        </row>
      </sheetData>
      <sheetData sheetId="22">
        <row r="1">
          <cell r="A1" t="str">
            <v>Phase</v>
          </cell>
          <cell r="B1" t="str">
            <v>Description</v>
          </cell>
          <cell r="C1" t="str">
            <v>Task Generator
S-System
P-Part
N-None</v>
          </cell>
          <cell r="D1" t="str">
            <v>LOGT Track Time</v>
          </cell>
          <cell r="E1" t="str">
            <v>LOGD Track Defects Injected</v>
          </cell>
        </row>
        <row r="2">
          <cell r="A2" t="str">
            <v>MGMT</v>
          </cell>
          <cell r="B2" t="str">
            <v>Management and Miscellaneous</v>
          </cell>
          <cell r="C2" t="str">
            <v>S</v>
          </cell>
          <cell r="D2" t="str">
            <v>Y</v>
          </cell>
          <cell r="E2" t="str">
            <v>N</v>
          </cell>
        </row>
        <row r="3">
          <cell r="A3" t="str">
            <v>STRAT</v>
          </cell>
          <cell r="B3" t="str">
            <v>Launch and Strategy</v>
          </cell>
          <cell r="C3" t="str">
            <v>S</v>
          </cell>
          <cell r="D3" t="str">
            <v>Y</v>
          </cell>
          <cell r="E3" t="str">
            <v>N</v>
          </cell>
        </row>
        <row r="4">
          <cell r="A4" t="str">
            <v>PLAN</v>
          </cell>
          <cell r="B4" t="str">
            <v>Planning</v>
          </cell>
          <cell r="C4" t="str">
            <v>S</v>
          </cell>
          <cell r="D4" t="str">
            <v>Y</v>
          </cell>
          <cell r="E4" t="str">
            <v>Y</v>
          </cell>
        </row>
        <row r="5">
          <cell r="A5" t="str">
            <v>REQ</v>
          </cell>
          <cell r="B5" t="str">
            <v>Requirements</v>
          </cell>
          <cell r="C5" t="str">
            <v>S</v>
          </cell>
          <cell r="D5" t="str">
            <v>Y</v>
          </cell>
          <cell r="E5" t="str">
            <v>Y</v>
          </cell>
        </row>
        <row r="6">
          <cell r="A6" t="str">
            <v>STP</v>
          </cell>
          <cell r="B6" t="str">
            <v>System Test Plan</v>
          </cell>
          <cell r="C6" t="str">
            <v>S</v>
          </cell>
          <cell r="D6" t="str">
            <v>Y</v>
          </cell>
          <cell r="E6" t="str">
            <v>Y</v>
          </cell>
        </row>
        <row r="7">
          <cell r="A7" t="str">
            <v>REQINSP</v>
          </cell>
          <cell r="B7" t="str">
            <v>REQ Inspection</v>
          </cell>
          <cell r="C7" t="str">
            <v>S</v>
          </cell>
          <cell r="D7" t="str">
            <v>Y</v>
          </cell>
          <cell r="E7" t="str">
            <v>Y</v>
          </cell>
        </row>
        <row r="8">
          <cell r="A8" t="str">
            <v>HLD</v>
          </cell>
          <cell r="B8" t="str">
            <v>High-Level Design</v>
          </cell>
          <cell r="C8" t="str">
            <v>S</v>
          </cell>
          <cell r="D8" t="str">
            <v>Y</v>
          </cell>
          <cell r="E8" t="str">
            <v>Y</v>
          </cell>
        </row>
        <row r="9">
          <cell r="A9" t="str">
            <v>ITP</v>
          </cell>
          <cell r="B9" t="str">
            <v>Integration Test Plan</v>
          </cell>
          <cell r="C9" t="str">
            <v>S</v>
          </cell>
          <cell r="D9" t="str">
            <v>Y</v>
          </cell>
          <cell r="E9" t="str">
            <v>Y</v>
          </cell>
        </row>
        <row r="10">
          <cell r="A10" t="str">
            <v>HLDINSP</v>
          </cell>
          <cell r="B10" t="str">
            <v>HLD Inspection</v>
          </cell>
          <cell r="C10" t="str">
            <v>S</v>
          </cell>
          <cell r="D10" t="str">
            <v>Y</v>
          </cell>
          <cell r="E10" t="str">
            <v>Y</v>
          </cell>
        </row>
        <row r="11">
          <cell r="A11" t="str">
            <v>DLD</v>
          </cell>
          <cell r="B11" t="str">
            <v>Detailed Design</v>
          </cell>
          <cell r="C11" t="str">
            <v>P</v>
          </cell>
          <cell r="D11" t="str">
            <v>Y</v>
          </cell>
          <cell r="E11" t="str">
            <v>Y</v>
          </cell>
        </row>
        <row r="12">
          <cell r="A12" t="str">
            <v>DLDR</v>
          </cell>
          <cell r="B12" t="str">
            <v>DLD Review</v>
          </cell>
          <cell r="C12" t="str">
            <v>P</v>
          </cell>
          <cell r="D12" t="str">
            <v>Y</v>
          </cell>
          <cell r="E12" t="str">
            <v>Y</v>
          </cell>
        </row>
        <row r="13">
          <cell r="A13" t="str">
            <v>TD</v>
          </cell>
          <cell r="B13" t="str">
            <v>Test Development</v>
          </cell>
          <cell r="C13" t="str">
            <v>P</v>
          </cell>
          <cell r="D13" t="str">
            <v>Y</v>
          </cell>
          <cell r="E13" t="str">
            <v>Y</v>
          </cell>
        </row>
        <row r="14">
          <cell r="A14" t="str">
            <v>DLDINSP</v>
          </cell>
          <cell r="B14" t="str">
            <v>DLD Inspection</v>
          </cell>
          <cell r="C14" t="str">
            <v>P</v>
          </cell>
          <cell r="D14" t="str">
            <v>Y</v>
          </cell>
          <cell r="E14" t="str">
            <v>Y</v>
          </cell>
        </row>
        <row r="15">
          <cell r="A15" t="str">
            <v>CODE</v>
          </cell>
          <cell r="B15" t="str">
            <v>Code</v>
          </cell>
          <cell r="C15" t="str">
            <v>P</v>
          </cell>
          <cell r="D15" t="str">
            <v>Y</v>
          </cell>
          <cell r="E15" t="str">
            <v>Y</v>
          </cell>
        </row>
        <row r="16">
          <cell r="A16" t="str">
            <v>CR</v>
          </cell>
          <cell r="B16" t="str">
            <v>Code Review</v>
          </cell>
          <cell r="C16" t="str">
            <v>P</v>
          </cell>
          <cell r="D16" t="str">
            <v>Y</v>
          </cell>
          <cell r="E16" t="str">
            <v>Y</v>
          </cell>
        </row>
        <row r="17">
          <cell r="A17" t="str">
            <v>COMPILE</v>
          </cell>
          <cell r="B17" t="str">
            <v>Compile</v>
          </cell>
          <cell r="C17" t="str">
            <v>P</v>
          </cell>
          <cell r="D17" t="str">
            <v>Y</v>
          </cell>
          <cell r="E17" t="str">
            <v>Y</v>
          </cell>
        </row>
        <row r="18">
          <cell r="A18" t="str">
            <v>CODEINSP</v>
          </cell>
          <cell r="B18" t="str">
            <v>Code Inspection</v>
          </cell>
          <cell r="C18" t="str">
            <v>P</v>
          </cell>
          <cell r="D18" t="str">
            <v>Y</v>
          </cell>
          <cell r="E18" t="str">
            <v>Y</v>
          </cell>
        </row>
        <row r="19">
          <cell r="A19" t="str">
            <v>UT</v>
          </cell>
          <cell r="B19" t="str">
            <v>Unit Test</v>
          </cell>
          <cell r="C19" t="str">
            <v>P</v>
          </cell>
          <cell r="D19" t="str">
            <v>Y</v>
          </cell>
          <cell r="E19" t="str">
            <v>Y</v>
          </cell>
        </row>
        <row r="20">
          <cell r="A20" t="str">
            <v>IT</v>
          </cell>
          <cell r="B20" t="str">
            <v>Build and Integration Test</v>
          </cell>
          <cell r="C20" t="str">
            <v>S</v>
          </cell>
          <cell r="D20" t="str">
            <v>Y</v>
          </cell>
          <cell r="E20" t="str">
            <v>Y</v>
          </cell>
        </row>
        <row r="21">
          <cell r="A21" t="str">
            <v>ST</v>
          </cell>
          <cell r="B21" t="str">
            <v>System Test</v>
          </cell>
          <cell r="C21" t="str">
            <v>S</v>
          </cell>
          <cell r="D21" t="str">
            <v>Y</v>
          </cell>
          <cell r="E21" t="str">
            <v>Y</v>
          </cell>
        </row>
        <row r="22">
          <cell r="A22" t="str">
            <v>DOC</v>
          </cell>
          <cell r="B22" t="str">
            <v>Documentation</v>
          </cell>
          <cell r="C22" t="str">
            <v>S</v>
          </cell>
          <cell r="D22" t="str">
            <v>Y</v>
          </cell>
          <cell r="E22" t="str">
            <v>N</v>
          </cell>
        </row>
        <row r="23">
          <cell r="A23" t="str">
            <v>PM</v>
          </cell>
          <cell r="B23" t="str">
            <v>Postmortem</v>
          </cell>
          <cell r="C23" t="str">
            <v>S</v>
          </cell>
          <cell r="D23" t="str">
            <v>Y</v>
          </cell>
          <cell r="E23" t="str">
            <v>N</v>
          </cell>
        </row>
        <row r="24">
          <cell r="A24" t="str">
            <v>AT</v>
          </cell>
          <cell r="B24" t="str">
            <v>Acceptance Test</v>
          </cell>
          <cell r="C24" t="str">
            <v>N</v>
          </cell>
          <cell r="D24" t="str">
            <v>N</v>
          </cell>
          <cell r="E24" t="str">
            <v>Y</v>
          </cell>
        </row>
        <row r="25">
          <cell r="A25" t="str">
            <v>PL</v>
          </cell>
          <cell r="B25" t="str">
            <v>Product Life</v>
          </cell>
          <cell r="C25" t="str">
            <v>N</v>
          </cell>
          <cell r="D25" t="str">
            <v>N</v>
          </cell>
          <cell r="E25" t="str">
            <v>Y</v>
          </cell>
        </row>
      </sheetData>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002060"/>
  </sheetPr>
  <dimension ref="A1:B83"/>
  <sheetViews>
    <sheetView showGridLines="0" showRowColHeaders="0" topLeftCell="A23" zoomScale="120" zoomScaleNormal="120" zoomScalePageLayoutView="120" workbookViewId="0">
      <selection activeCell="A8" sqref="A8"/>
    </sheetView>
  </sheetViews>
  <sheetFormatPr baseColWidth="10" defaultColWidth="9.1796875" defaultRowHeight="12.5" x14ac:dyDescent="0.25"/>
  <cols>
    <col min="1" max="1" width="91.1796875" style="17" customWidth="1"/>
    <col min="2" max="16384" width="9.1796875" style="16"/>
  </cols>
  <sheetData>
    <row r="1" spans="1:2" ht="18" x14ac:dyDescent="0.25">
      <c r="A1" s="23" t="s">
        <v>93</v>
      </c>
      <c r="B1" s="29"/>
    </row>
    <row r="2" spans="1:2" x14ac:dyDescent="0.25">
      <c r="A2" s="20"/>
    </row>
    <row r="3" spans="1:2" ht="37.5" x14ac:dyDescent="0.25">
      <c r="A3" s="20" t="s">
        <v>94</v>
      </c>
    </row>
    <row r="4" spans="1:2" x14ac:dyDescent="0.25">
      <c r="A4" s="20"/>
    </row>
    <row r="5" spans="1:2" x14ac:dyDescent="0.25">
      <c r="A5" s="20" t="s">
        <v>92</v>
      </c>
    </row>
    <row r="6" spans="1:2" ht="13" x14ac:dyDescent="0.25">
      <c r="A6" s="21"/>
    </row>
    <row r="7" spans="1:2" ht="25.5" x14ac:dyDescent="0.25">
      <c r="A7" s="21" t="s">
        <v>95</v>
      </c>
    </row>
    <row r="8" spans="1:2" ht="13" x14ac:dyDescent="0.25">
      <c r="A8" s="21" t="s">
        <v>96</v>
      </c>
    </row>
    <row r="9" spans="1:2" ht="13" x14ac:dyDescent="0.25">
      <c r="A9" s="21"/>
    </row>
    <row r="10" spans="1:2" ht="13" x14ac:dyDescent="0.25">
      <c r="A10" s="18" t="s">
        <v>102</v>
      </c>
    </row>
    <row r="11" spans="1:2" ht="13" x14ac:dyDescent="0.25">
      <c r="A11" s="18"/>
    </row>
    <row r="12" spans="1:2" ht="50.5" x14ac:dyDescent="0.25">
      <c r="A12" s="20" t="s">
        <v>101</v>
      </c>
    </row>
    <row r="13" spans="1:2" x14ac:dyDescent="0.25">
      <c r="A13" s="20"/>
    </row>
    <row r="14" spans="1:2" ht="88" x14ac:dyDescent="0.25">
      <c r="A14" s="20" t="s">
        <v>103</v>
      </c>
    </row>
    <row r="15" spans="1:2" ht="13" x14ac:dyDescent="0.25">
      <c r="A15" s="20" t="s">
        <v>100</v>
      </c>
    </row>
    <row r="16" spans="1:2" x14ac:dyDescent="0.25">
      <c r="A16" s="20"/>
    </row>
    <row r="17" spans="1:1" ht="26" x14ac:dyDescent="0.25">
      <c r="A17" s="20" t="s">
        <v>104</v>
      </c>
    </row>
    <row r="18" spans="1:1" x14ac:dyDescent="0.25">
      <c r="A18" s="20"/>
    </row>
    <row r="19" spans="1:1" ht="25" x14ac:dyDescent="0.25">
      <c r="A19" s="67" t="s">
        <v>105</v>
      </c>
    </row>
    <row r="20" spans="1:1" x14ac:dyDescent="0.25">
      <c r="A20" s="20"/>
    </row>
    <row r="21" spans="1:1" ht="13" x14ac:dyDescent="0.25">
      <c r="A21" s="19" t="s">
        <v>58</v>
      </c>
    </row>
    <row r="22" spans="1:1" x14ac:dyDescent="0.25">
      <c r="A22" s="20" t="s">
        <v>98</v>
      </c>
    </row>
    <row r="23" spans="1:1" ht="25.5" x14ac:dyDescent="0.25">
      <c r="A23" s="20" t="s">
        <v>106</v>
      </c>
    </row>
    <row r="24" spans="1:1" x14ac:dyDescent="0.25">
      <c r="A24" s="68" t="s">
        <v>107</v>
      </c>
    </row>
    <row r="25" spans="1:1" x14ac:dyDescent="0.25">
      <c r="A25" s="68" t="s">
        <v>108</v>
      </c>
    </row>
    <row r="26" spans="1:1" x14ac:dyDescent="0.25">
      <c r="A26" s="68" t="s">
        <v>109</v>
      </c>
    </row>
    <row r="27" spans="1:1" x14ac:dyDescent="0.25">
      <c r="A27" s="68" t="s">
        <v>110</v>
      </c>
    </row>
    <row r="28" spans="1:1" x14ac:dyDescent="0.25">
      <c r="A28" s="68" t="s">
        <v>111</v>
      </c>
    </row>
    <row r="29" spans="1:1" x14ac:dyDescent="0.25">
      <c r="A29" s="68" t="s">
        <v>112</v>
      </c>
    </row>
    <row r="30" spans="1:1" x14ac:dyDescent="0.25">
      <c r="A30" s="68" t="s">
        <v>113</v>
      </c>
    </row>
    <row r="31" spans="1:1" x14ac:dyDescent="0.25">
      <c r="A31" s="68" t="s">
        <v>114</v>
      </c>
    </row>
    <row r="32" spans="1:1" x14ac:dyDescent="0.25">
      <c r="A32" s="68" t="s">
        <v>115</v>
      </c>
    </row>
    <row r="33" spans="1:1" ht="29.25" customHeight="1" x14ac:dyDescent="0.25">
      <c r="A33" s="20" t="s">
        <v>99</v>
      </c>
    </row>
    <row r="39" spans="1:1" x14ac:dyDescent="0.25">
      <c r="A39" s="62"/>
    </row>
    <row r="40" spans="1:1" x14ac:dyDescent="0.25">
      <c r="A40" s="62"/>
    </row>
    <row r="41" spans="1:1" x14ac:dyDescent="0.25">
      <c r="A41" s="63"/>
    </row>
    <row r="42" spans="1:1" x14ac:dyDescent="0.25">
      <c r="A42" s="20"/>
    </row>
    <row r="43" spans="1:1" ht="13" x14ac:dyDescent="0.3">
      <c r="A43" s="41"/>
    </row>
    <row r="44" spans="1:1" ht="13" x14ac:dyDescent="0.3">
      <c r="A44" s="41"/>
    </row>
    <row r="45" spans="1:1" x14ac:dyDescent="0.25">
      <c r="A45" s="20"/>
    </row>
    <row r="46" spans="1:1" x14ac:dyDescent="0.25">
      <c r="A46" s="20"/>
    </row>
    <row r="47" spans="1:1" x14ac:dyDescent="0.25">
      <c r="A47" s="20"/>
    </row>
    <row r="48" spans="1:1" x14ac:dyDescent="0.25">
      <c r="A48" s="20"/>
    </row>
    <row r="49" spans="1:1" x14ac:dyDescent="0.25">
      <c r="A49" s="20"/>
    </row>
    <row r="50" spans="1:1" x14ac:dyDescent="0.25">
      <c r="A50" s="20"/>
    </row>
    <row r="51" spans="1:1" x14ac:dyDescent="0.25">
      <c r="A51" s="20"/>
    </row>
    <row r="52" spans="1:1" x14ac:dyDescent="0.25">
      <c r="A52" s="20"/>
    </row>
    <row r="53" spans="1:1" x14ac:dyDescent="0.25">
      <c r="A53" s="20"/>
    </row>
    <row r="54" spans="1:1" x14ac:dyDescent="0.25">
      <c r="A54" s="20"/>
    </row>
    <row r="55" spans="1:1" x14ac:dyDescent="0.25">
      <c r="A55" s="20"/>
    </row>
    <row r="56" spans="1:1" x14ac:dyDescent="0.25">
      <c r="A56" s="20"/>
    </row>
    <row r="57" spans="1:1" x14ac:dyDescent="0.25">
      <c r="A57" s="20"/>
    </row>
    <row r="58" spans="1:1" x14ac:dyDescent="0.25">
      <c r="A58" s="20"/>
    </row>
    <row r="59" spans="1:1" x14ac:dyDescent="0.25">
      <c r="A59" s="20"/>
    </row>
    <row r="60" spans="1:1" x14ac:dyDescent="0.25">
      <c r="A60" s="20"/>
    </row>
    <row r="61" spans="1:1" x14ac:dyDescent="0.25">
      <c r="A61" s="20"/>
    </row>
    <row r="62" spans="1:1" x14ac:dyDescent="0.25">
      <c r="A62" s="20"/>
    </row>
    <row r="63" spans="1:1" x14ac:dyDescent="0.25">
      <c r="A63" s="20"/>
    </row>
    <row r="64" spans="1:1" x14ac:dyDescent="0.25">
      <c r="A64" s="20"/>
    </row>
    <row r="65" spans="1:1" x14ac:dyDescent="0.25">
      <c r="A65" s="20"/>
    </row>
    <row r="66" spans="1:1" x14ac:dyDescent="0.25">
      <c r="A66" s="20"/>
    </row>
    <row r="67" spans="1:1" x14ac:dyDescent="0.25">
      <c r="A67" s="20"/>
    </row>
    <row r="68" spans="1:1" x14ac:dyDescent="0.25">
      <c r="A68" s="20"/>
    </row>
    <row r="69" spans="1:1" x14ac:dyDescent="0.25">
      <c r="A69" s="20"/>
    </row>
    <row r="70" spans="1:1" x14ac:dyDescent="0.25">
      <c r="A70" s="20"/>
    </row>
    <row r="71" spans="1:1" x14ac:dyDescent="0.25">
      <c r="A71" s="20"/>
    </row>
    <row r="72" spans="1:1" x14ac:dyDescent="0.25">
      <c r="A72" s="20"/>
    </row>
    <row r="73" spans="1:1" x14ac:dyDescent="0.25">
      <c r="A73" s="20"/>
    </row>
    <row r="74" spans="1:1" x14ac:dyDescent="0.25">
      <c r="A74" s="20"/>
    </row>
    <row r="75" spans="1:1" x14ac:dyDescent="0.25">
      <c r="A75" s="20"/>
    </row>
    <row r="76" spans="1:1" x14ac:dyDescent="0.25">
      <c r="A76" s="20"/>
    </row>
    <row r="77" spans="1:1" x14ac:dyDescent="0.25">
      <c r="A77" s="20"/>
    </row>
    <row r="78" spans="1:1" x14ac:dyDescent="0.25">
      <c r="A78" s="20"/>
    </row>
    <row r="79" spans="1:1" x14ac:dyDescent="0.25">
      <c r="A79" s="20"/>
    </row>
    <row r="80" spans="1:1" x14ac:dyDescent="0.25">
      <c r="A80" s="20"/>
    </row>
    <row r="81" spans="1:1" x14ac:dyDescent="0.25">
      <c r="A81" s="20"/>
    </row>
    <row r="82" spans="1:1" x14ac:dyDescent="0.25">
      <c r="A82" s="20"/>
    </row>
    <row r="83" spans="1:1" x14ac:dyDescent="0.25">
      <c r="A83" s="20"/>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O40"/>
  <sheetViews>
    <sheetView showGridLines="0" zoomScale="140" zoomScaleNormal="140" zoomScalePageLayoutView="140" workbookViewId="0">
      <selection activeCell="G13" sqref="G13"/>
    </sheetView>
  </sheetViews>
  <sheetFormatPr baseColWidth="10" defaultColWidth="10.453125" defaultRowHeight="12.5" x14ac:dyDescent="0.25"/>
  <cols>
    <col min="1" max="1" width="6.453125" style="43" customWidth="1"/>
    <col min="2" max="3" width="8.453125" style="43" customWidth="1"/>
    <col min="4" max="4" width="13.453125" style="43" customWidth="1"/>
    <col min="5" max="5" width="9.1796875" style="44" customWidth="1"/>
    <col min="6" max="6" width="0.81640625" style="44" customWidth="1"/>
    <col min="7" max="7" width="8.453125" style="43" customWidth="1"/>
    <col min="8" max="8" width="0.81640625" style="44" customWidth="1"/>
    <col min="9" max="9" width="8.453125" style="43" customWidth="1"/>
    <col min="10" max="10" width="0.81640625" style="44" customWidth="1"/>
    <col min="11" max="11" width="8.453125" style="43" customWidth="1"/>
    <col min="12" max="12" width="1.453125" style="43" customWidth="1"/>
    <col min="13" max="15" width="8.453125" style="43" customWidth="1"/>
    <col min="16" max="88" width="10.453125" style="43"/>
    <col min="89" max="89" width="6.453125" style="43" customWidth="1"/>
    <col min="90" max="92" width="8.453125" style="43" customWidth="1"/>
    <col min="93" max="93" width="9.1796875" style="43" customWidth="1"/>
    <col min="94" max="94" width="0.81640625" style="43" customWidth="1"/>
    <col min="95" max="95" width="8.453125" style="43" customWidth="1"/>
    <col min="96" max="96" width="0.81640625" style="43" customWidth="1"/>
    <col min="97" max="97" width="8.453125" style="43" customWidth="1"/>
    <col min="98" max="98" width="0.81640625" style="43" customWidth="1"/>
    <col min="99" max="100" width="8.453125" style="43" customWidth="1"/>
    <col min="101" max="101" width="26.1796875" style="43" customWidth="1"/>
    <col min="102" max="271" width="10.453125" style="43" customWidth="1"/>
    <col min="272" max="344" width="10.453125" style="43"/>
    <col min="345" max="345" width="6.453125" style="43" customWidth="1"/>
    <col min="346" max="348" width="8.453125" style="43" customWidth="1"/>
    <col min="349" max="349" width="9.1796875" style="43" customWidth="1"/>
    <col min="350" max="350" width="0.81640625" style="43" customWidth="1"/>
    <col min="351" max="351" width="8.453125" style="43" customWidth="1"/>
    <col min="352" max="352" width="0.81640625" style="43" customWidth="1"/>
    <col min="353" max="353" width="8.453125" style="43" customWidth="1"/>
    <col min="354" max="354" width="0.81640625" style="43" customWidth="1"/>
    <col min="355" max="356" width="8.453125" style="43" customWidth="1"/>
    <col min="357" max="357" width="26.1796875" style="43" customWidth="1"/>
    <col min="358" max="527" width="10.453125" style="43" customWidth="1"/>
    <col min="528" max="600" width="10.453125" style="43"/>
    <col min="601" max="601" width="6.453125" style="43" customWidth="1"/>
    <col min="602" max="604" width="8.453125" style="43" customWidth="1"/>
    <col min="605" max="605" width="9.1796875" style="43" customWidth="1"/>
    <col min="606" max="606" width="0.81640625" style="43" customWidth="1"/>
    <col min="607" max="607" width="8.453125" style="43" customWidth="1"/>
    <col min="608" max="608" width="0.81640625" style="43" customWidth="1"/>
    <col min="609" max="609" width="8.453125" style="43" customWidth="1"/>
    <col min="610" max="610" width="0.81640625" style="43" customWidth="1"/>
    <col min="611" max="612" width="8.453125" style="43" customWidth="1"/>
    <col min="613" max="613" width="26.1796875" style="43" customWidth="1"/>
    <col min="614" max="783" width="10.453125" style="43" customWidth="1"/>
    <col min="784" max="856" width="10.453125" style="43"/>
    <col min="857" max="857" width="6.453125" style="43" customWidth="1"/>
    <col min="858" max="860" width="8.453125" style="43" customWidth="1"/>
    <col min="861" max="861" width="9.1796875" style="43" customWidth="1"/>
    <col min="862" max="862" width="0.81640625" style="43" customWidth="1"/>
    <col min="863" max="863" width="8.453125" style="43" customWidth="1"/>
    <col min="864" max="864" width="0.81640625" style="43" customWidth="1"/>
    <col min="865" max="865" width="8.453125" style="43" customWidth="1"/>
    <col min="866" max="866" width="0.81640625" style="43" customWidth="1"/>
    <col min="867" max="868" width="8.453125" style="43" customWidth="1"/>
    <col min="869" max="869" width="26.1796875" style="43" customWidth="1"/>
    <col min="870" max="1039" width="10.453125" style="43" customWidth="1"/>
    <col min="1040" max="1112" width="10.453125" style="43"/>
    <col min="1113" max="1113" width="6.453125" style="43" customWidth="1"/>
    <col min="1114" max="1116" width="8.453125" style="43" customWidth="1"/>
    <col min="1117" max="1117" width="9.1796875" style="43" customWidth="1"/>
    <col min="1118" max="1118" width="0.81640625" style="43" customWidth="1"/>
    <col min="1119" max="1119" width="8.453125" style="43" customWidth="1"/>
    <col min="1120" max="1120" width="0.81640625" style="43" customWidth="1"/>
    <col min="1121" max="1121" width="8.453125" style="43" customWidth="1"/>
    <col min="1122" max="1122" width="0.81640625" style="43" customWidth="1"/>
    <col min="1123" max="1124" width="8.453125" style="43" customWidth="1"/>
    <col min="1125" max="1125" width="26.1796875" style="43" customWidth="1"/>
    <col min="1126" max="1295" width="10.453125" style="43" customWidth="1"/>
    <col min="1296" max="1368" width="10.453125" style="43"/>
    <col min="1369" max="1369" width="6.453125" style="43" customWidth="1"/>
    <col min="1370" max="1372" width="8.453125" style="43" customWidth="1"/>
    <col min="1373" max="1373" width="9.1796875" style="43" customWidth="1"/>
    <col min="1374" max="1374" width="0.81640625" style="43" customWidth="1"/>
    <col min="1375" max="1375" width="8.453125" style="43" customWidth="1"/>
    <col min="1376" max="1376" width="0.81640625" style="43" customWidth="1"/>
    <col min="1377" max="1377" width="8.453125" style="43" customWidth="1"/>
    <col min="1378" max="1378" width="0.81640625" style="43" customWidth="1"/>
    <col min="1379" max="1380" width="8.453125" style="43" customWidth="1"/>
    <col min="1381" max="1381" width="26.1796875" style="43" customWidth="1"/>
    <col min="1382" max="1551" width="10.453125" style="43" customWidth="1"/>
    <col min="1552" max="1624" width="10.453125" style="43"/>
    <col min="1625" max="1625" width="6.453125" style="43" customWidth="1"/>
    <col min="1626" max="1628" width="8.453125" style="43" customWidth="1"/>
    <col min="1629" max="1629" width="9.1796875" style="43" customWidth="1"/>
    <col min="1630" max="1630" width="0.81640625" style="43" customWidth="1"/>
    <col min="1631" max="1631" width="8.453125" style="43" customWidth="1"/>
    <col min="1632" max="1632" width="0.81640625" style="43" customWidth="1"/>
    <col min="1633" max="1633" width="8.453125" style="43" customWidth="1"/>
    <col min="1634" max="1634" width="0.81640625" style="43" customWidth="1"/>
    <col min="1635" max="1636" width="8.453125" style="43" customWidth="1"/>
    <col min="1637" max="1637" width="26.1796875" style="43" customWidth="1"/>
    <col min="1638" max="1807" width="10.453125" style="43" customWidth="1"/>
    <col min="1808" max="1880" width="10.453125" style="43"/>
    <col min="1881" max="1881" width="6.453125" style="43" customWidth="1"/>
    <col min="1882" max="1884" width="8.453125" style="43" customWidth="1"/>
    <col min="1885" max="1885" width="9.1796875" style="43" customWidth="1"/>
    <col min="1886" max="1886" width="0.81640625" style="43" customWidth="1"/>
    <col min="1887" max="1887" width="8.453125" style="43" customWidth="1"/>
    <col min="1888" max="1888" width="0.81640625" style="43" customWidth="1"/>
    <col min="1889" max="1889" width="8.453125" style="43" customWidth="1"/>
    <col min="1890" max="1890" width="0.81640625" style="43" customWidth="1"/>
    <col min="1891" max="1892" width="8.453125" style="43" customWidth="1"/>
    <col min="1893" max="1893" width="26.1796875" style="43" customWidth="1"/>
    <col min="1894" max="2063" width="10.453125" style="43" customWidth="1"/>
    <col min="2064" max="2136" width="10.453125" style="43"/>
    <col min="2137" max="2137" width="6.453125" style="43" customWidth="1"/>
    <col min="2138" max="2140" width="8.453125" style="43" customWidth="1"/>
    <col min="2141" max="2141" width="9.1796875" style="43" customWidth="1"/>
    <col min="2142" max="2142" width="0.81640625" style="43" customWidth="1"/>
    <col min="2143" max="2143" width="8.453125" style="43" customWidth="1"/>
    <col min="2144" max="2144" width="0.81640625" style="43" customWidth="1"/>
    <col min="2145" max="2145" width="8.453125" style="43" customWidth="1"/>
    <col min="2146" max="2146" width="0.81640625" style="43" customWidth="1"/>
    <col min="2147" max="2148" width="8.453125" style="43" customWidth="1"/>
    <col min="2149" max="2149" width="26.1796875" style="43" customWidth="1"/>
    <col min="2150" max="2319" width="10.453125" style="43" customWidth="1"/>
    <col min="2320" max="2392" width="10.453125" style="43"/>
    <col min="2393" max="2393" width="6.453125" style="43" customWidth="1"/>
    <col min="2394" max="2396" width="8.453125" style="43" customWidth="1"/>
    <col min="2397" max="2397" width="9.1796875" style="43" customWidth="1"/>
    <col min="2398" max="2398" width="0.81640625" style="43" customWidth="1"/>
    <col min="2399" max="2399" width="8.453125" style="43" customWidth="1"/>
    <col min="2400" max="2400" width="0.81640625" style="43" customWidth="1"/>
    <col min="2401" max="2401" width="8.453125" style="43" customWidth="1"/>
    <col min="2402" max="2402" width="0.81640625" style="43" customWidth="1"/>
    <col min="2403" max="2404" width="8.453125" style="43" customWidth="1"/>
    <col min="2405" max="2405" width="26.1796875" style="43" customWidth="1"/>
    <col min="2406" max="2575" width="10.453125" style="43" customWidth="1"/>
    <col min="2576" max="2648" width="10.453125" style="43"/>
    <col min="2649" max="2649" width="6.453125" style="43" customWidth="1"/>
    <col min="2650" max="2652" width="8.453125" style="43" customWidth="1"/>
    <col min="2653" max="2653" width="9.1796875" style="43" customWidth="1"/>
    <col min="2654" max="2654" width="0.81640625" style="43" customWidth="1"/>
    <col min="2655" max="2655" width="8.453125" style="43" customWidth="1"/>
    <col min="2656" max="2656" width="0.81640625" style="43" customWidth="1"/>
    <col min="2657" max="2657" width="8.453125" style="43" customWidth="1"/>
    <col min="2658" max="2658" width="0.81640625" style="43" customWidth="1"/>
    <col min="2659" max="2660" width="8.453125" style="43" customWidth="1"/>
    <col min="2661" max="2661" width="26.1796875" style="43" customWidth="1"/>
    <col min="2662" max="2831" width="10.453125" style="43" customWidth="1"/>
    <col min="2832" max="2904" width="10.453125" style="43"/>
    <col min="2905" max="2905" width="6.453125" style="43" customWidth="1"/>
    <col min="2906" max="2908" width="8.453125" style="43" customWidth="1"/>
    <col min="2909" max="2909" width="9.1796875" style="43" customWidth="1"/>
    <col min="2910" max="2910" width="0.81640625" style="43" customWidth="1"/>
    <col min="2911" max="2911" width="8.453125" style="43" customWidth="1"/>
    <col min="2912" max="2912" width="0.81640625" style="43" customWidth="1"/>
    <col min="2913" max="2913" width="8.453125" style="43" customWidth="1"/>
    <col min="2914" max="2914" width="0.81640625" style="43" customWidth="1"/>
    <col min="2915" max="2916" width="8.453125" style="43" customWidth="1"/>
    <col min="2917" max="2917" width="26.1796875" style="43" customWidth="1"/>
    <col min="2918" max="3087" width="10.453125" style="43" customWidth="1"/>
    <col min="3088" max="3160" width="10.453125" style="43"/>
    <col min="3161" max="3161" width="6.453125" style="43" customWidth="1"/>
    <col min="3162" max="3164" width="8.453125" style="43" customWidth="1"/>
    <col min="3165" max="3165" width="9.1796875" style="43" customWidth="1"/>
    <col min="3166" max="3166" width="0.81640625" style="43" customWidth="1"/>
    <col min="3167" max="3167" width="8.453125" style="43" customWidth="1"/>
    <col min="3168" max="3168" width="0.81640625" style="43" customWidth="1"/>
    <col min="3169" max="3169" width="8.453125" style="43" customWidth="1"/>
    <col min="3170" max="3170" width="0.81640625" style="43" customWidth="1"/>
    <col min="3171" max="3172" width="8.453125" style="43" customWidth="1"/>
    <col min="3173" max="3173" width="26.1796875" style="43" customWidth="1"/>
    <col min="3174" max="3343" width="10.453125" style="43" customWidth="1"/>
    <col min="3344" max="3416" width="10.453125" style="43"/>
    <col min="3417" max="3417" width="6.453125" style="43" customWidth="1"/>
    <col min="3418" max="3420" width="8.453125" style="43" customWidth="1"/>
    <col min="3421" max="3421" width="9.1796875" style="43" customWidth="1"/>
    <col min="3422" max="3422" width="0.81640625" style="43" customWidth="1"/>
    <col min="3423" max="3423" width="8.453125" style="43" customWidth="1"/>
    <col min="3424" max="3424" width="0.81640625" style="43" customWidth="1"/>
    <col min="3425" max="3425" width="8.453125" style="43" customWidth="1"/>
    <col min="3426" max="3426" width="0.81640625" style="43" customWidth="1"/>
    <col min="3427" max="3428" width="8.453125" style="43" customWidth="1"/>
    <col min="3429" max="3429" width="26.1796875" style="43" customWidth="1"/>
    <col min="3430" max="3599" width="10.453125" style="43" customWidth="1"/>
    <col min="3600" max="3672" width="10.453125" style="43"/>
    <col min="3673" max="3673" width="6.453125" style="43" customWidth="1"/>
    <col min="3674" max="3676" width="8.453125" style="43" customWidth="1"/>
    <col min="3677" max="3677" width="9.1796875" style="43" customWidth="1"/>
    <col min="3678" max="3678" width="0.81640625" style="43" customWidth="1"/>
    <col min="3679" max="3679" width="8.453125" style="43" customWidth="1"/>
    <col min="3680" max="3680" width="0.81640625" style="43" customWidth="1"/>
    <col min="3681" max="3681" width="8.453125" style="43" customWidth="1"/>
    <col min="3682" max="3682" width="0.81640625" style="43" customWidth="1"/>
    <col min="3683" max="3684" width="8.453125" style="43" customWidth="1"/>
    <col min="3685" max="3685" width="26.1796875" style="43" customWidth="1"/>
    <col min="3686" max="3855" width="10.453125" style="43" customWidth="1"/>
    <col min="3856" max="3928" width="10.453125" style="43"/>
    <col min="3929" max="3929" width="6.453125" style="43" customWidth="1"/>
    <col min="3930" max="3932" width="8.453125" style="43" customWidth="1"/>
    <col min="3933" max="3933" width="9.1796875" style="43" customWidth="1"/>
    <col min="3934" max="3934" width="0.81640625" style="43" customWidth="1"/>
    <col min="3935" max="3935" width="8.453125" style="43" customWidth="1"/>
    <col min="3936" max="3936" width="0.81640625" style="43" customWidth="1"/>
    <col min="3937" max="3937" width="8.453125" style="43" customWidth="1"/>
    <col min="3938" max="3938" width="0.81640625" style="43" customWidth="1"/>
    <col min="3939" max="3940" width="8.453125" style="43" customWidth="1"/>
    <col min="3941" max="3941" width="26.1796875" style="43" customWidth="1"/>
    <col min="3942" max="4111" width="10.453125" style="43" customWidth="1"/>
    <col min="4112" max="4184" width="10.453125" style="43"/>
    <col min="4185" max="4185" width="6.453125" style="43" customWidth="1"/>
    <col min="4186" max="4188" width="8.453125" style="43" customWidth="1"/>
    <col min="4189" max="4189" width="9.1796875" style="43" customWidth="1"/>
    <col min="4190" max="4190" width="0.81640625" style="43" customWidth="1"/>
    <col min="4191" max="4191" width="8.453125" style="43" customWidth="1"/>
    <col min="4192" max="4192" width="0.81640625" style="43" customWidth="1"/>
    <col min="4193" max="4193" width="8.453125" style="43" customWidth="1"/>
    <col min="4194" max="4194" width="0.81640625" style="43" customWidth="1"/>
    <col min="4195" max="4196" width="8.453125" style="43" customWidth="1"/>
    <col min="4197" max="4197" width="26.1796875" style="43" customWidth="1"/>
    <col min="4198" max="4367" width="10.453125" style="43" customWidth="1"/>
    <col min="4368" max="4440" width="10.453125" style="43"/>
    <col min="4441" max="4441" width="6.453125" style="43" customWidth="1"/>
    <col min="4442" max="4444" width="8.453125" style="43" customWidth="1"/>
    <col min="4445" max="4445" width="9.1796875" style="43" customWidth="1"/>
    <col min="4446" max="4446" width="0.81640625" style="43" customWidth="1"/>
    <col min="4447" max="4447" width="8.453125" style="43" customWidth="1"/>
    <col min="4448" max="4448" width="0.81640625" style="43" customWidth="1"/>
    <col min="4449" max="4449" width="8.453125" style="43" customWidth="1"/>
    <col min="4450" max="4450" width="0.81640625" style="43" customWidth="1"/>
    <col min="4451" max="4452" width="8.453125" style="43" customWidth="1"/>
    <col min="4453" max="4453" width="26.1796875" style="43" customWidth="1"/>
    <col min="4454" max="4623" width="10.453125" style="43" customWidth="1"/>
    <col min="4624" max="4696" width="10.453125" style="43"/>
    <col min="4697" max="4697" width="6.453125" style="43" customWidth="1"/>
    <col min="4698" max="4700" width="8.453125" style="43" customWidth="1"/>
    <col min="4701" max="4701" width="9.1796875" style="43" customWidth="1"/>
    <col min="4702" max="4702" width="0.81640625" style="43" customWidth="1"/>
    <col min="4703" max="4703" width="8.453125" style="43" customWidth="1"/>
    <col min="4704" max="4704" width="0.81640625" style="43" customWidth="1"/>
    <col min="4705" max="4705" width="8.453125" style="43" customWidth="1"/>
    <col min="4706" max="4706" width="0.81640625" style="43" customWidth="1"/>
    <col min="4707" max="4708" width="8.453125" style="43" customWidth="1"/>
    <col min="4709" max="4709" width="26.1796875" style="43" customWidth="1"/>
    <col min="4710" max="4879" width="10.453125" style="43" customWidth="1"/>
    <col min="4880" max="4952" width="10.453125" style="43"/>
    <col min="4953" max="4953" width="6.453125" style="43" customWidth="1"/>
    <col min="4954" max="4956" width="8.453125" style="43" customWidth="1"/>
    <col min="4957" max="4957" width="9.1796875" style="43" customWidth="1"/>
    <col min="4958" max="4958" width="0.81640625" style="43" customWidth="1"/>
    <col min="4959" max="4959" width="8.453125" style="43" customWidth="1"/>
    <col min="4960" max="4960" width="0.81640625" style="43" customWidth="1"/>
    <col min="4961" max="4961" width="8.453125" style="43" customWidth="1"/>
    <col min="4962" max="4962" width="0.81640625" style="43" customWidth="1"/>
    <col min="4963" max="4964" width="8.453125" style="43" customWidth="1"/>
    <col min="4965" max="4965" width="26.1796875" style="43" customWidth="1"/>
    <col min="4966" max="5135" width="10.453125" style="43" customWidth="1"/>
    <col min="5136" max="5208" width="10.453125" style="43"/>
    <col min="5209" max="5209" width="6.453125" style="43" customWidth="1"/>
    <col min="5210" max="5212" width="8.453125" style="43" customWidth="1"/>
    <col min="5213" max="5213" width="9.1796875" style="43" customWidth="1"/>
    <col min="5214" max="5214" width="0.81640625" style="43" customWidth="1"/>
    <col min="5215" max="5215" width="8.453125" style="43" customWidth="1"/>
    <col min="5216" max="5216" width="0.81640625" style="43" customWidth="1"/>
    <col min="5217" max="5217" width="8.453125" style="43" customWidth="1"/>
    <col min="5218" max="5218" width="0.81640625" style="43" customWidth="1"/>
    <col min="5219" max="5220" width="8.453125" style="43" customWidth="1"/>
    <col min="5221" max="5221" width="26.1796875" style="43" customWidth="1"/>
    <col min="5222" max="5391" width="10.453125" style="43" customWidth="1"/>
    <col min="5392" max="5464" width="10.453125" style="43"/>
    <col min="5465" max="5465" width="6.453125" style="43" customWidth="1"/>
    <col min="5466" max="5468" width="8.453125" style="43" customWidth="1"/>
    <col min="5469" max="5469" width="9.1796875" style="43" customWidth="1"/>
    <col min="5470" max="5470" width="0.81640625" style="43" customWidth="1"/>
    <col min="5471" max="5471" width="8.453125" style="43" customWidth="1"/>
    <col min="5472" max="5472" width="0.81640625" style="43" customWidth="1"/>
    <col min="5473" max="5473" width="8.453125" style="43" customWidth="1"/>
    <col min="5474" max="5474" width="0.81640625" style="43" customWidth="1"/>
    <col min="5475" max="5476" width="8.453125" style="43" customWidth="1"/>
    <col min="5477" max="5477" width="26.1796875" style="43" customWidth="1"/>
    <col min="5478" max="5647" width="10.453125" style="43" customWidth="1"/>
    <col min="5648" max="5720" width="10.453125" style="43"/>
    <col min="5721" max="5721" width="6.453125" style="43" customWidth="1"/>
    <col min="5722" max="5724" width="8.453125" style="43" customWidth="1"/>
    <col min="5725" max="5725" width="9.1796875" style="43" customWidth="1"/>
    <col min="5726" max="5726" width="0.81640625" style="43" customWidth="1"/>
    <col min="5727" max="5727" width="8.453125" style="43" customWidth="1"/>
    <col min="5728" max="5728" width="0.81640625" style="43" customWidth="1"/>
    <col min="5729" max="5729" width="8.453125" style="43" customWidth="1"/>
    <col min="5730" max="5730" width="0.81640625" style="43" customWidth="1"/>
    <col min="5731" max="5732" width="8.453125" style="43" customWidth="1"/>
    <col min="5733" max="5733" width="26.1796875" style="43" customWidth="1"/>
    <col min="5734" max="5903" width="10.453125" style="43" customWidth="1"/>
    <col min="5904" max="5976" width="10.453125" style="43"/>
    <col min="5977" max="5977" width="6.453125" style="43" customWidth="1"/>
    <col min="5978" max="5980" width="8.453125" style="43" customWidth="1"/>
    <col min="5981" max="5981" width="9.1796875" style="43" customWidth="1"/>
    <col min="5982" max="5982" width="0.81640625" style="43" customWidth="1"/>
    <col min="5983" max="5983" width="8.453125" style="43" customWidth="1"/>
    <col min="5984" max="5984" width="0.81640625" style="43" customWidth="1"/>
    <col min="5985" max="5985" width="8.453125" style="43" customWidth="1"/>
    <col min="5986" max="5986" width="0.81640625" style="43" customWidth="1"/>
    <col min="5987" max="5988" width="8.453125" style="43" customWidth="1"/>
    <col min="5989" max="5989" width="26.1796875" style="43" customWidth="1"/>
    <col min="5990" max="6159" width="10.453125" style="43" customWidth="1"/>
    <col min="6160" max="6232" width="10.453125" style="43"/>
    <col min="6233" max="6233" width="6.453125" style="43" customWidth="1"/>
    <col min="6234" max="6236" width="8.453125" style="43" customWidth="1"/>
    <col min="6237" max="6237" width="9.1796875" style="43" customWidth="1"/>
    <col min="6238" max="6238" width="0.81640625" style="43" customWidth="1"/>
    <col min="6239" max="6239" width="8.453125" style="43" customWidth="1"/>
    <col min="6240" max="6240" width="0.81640625" style="43" customWidth="1"/>
    <col min="6241" max="6241" width="8.453125" style="43" customWidth="1"/>
    <col min="6242" max="6242" width="0.81640625" style="43" customWidth="1"/>
    <col min="6243" max="6244" width="8.453125" style="43" customWidth="1"/>
    <col min="6245" max="6245" width="26.1796875" style="43" customWidth="1"/>
    <col min="6246" max="6415" width="10.453125" style="43" customWidth="1"/>
    <col min="6416" max="6488" width="10.453125" style="43"/>
    <col min="6489" max="6489" width="6.453125" style="43" customWidth="1"/>
    <col min="6490" max="6492" width="8.453125" style="43" customWidth="1"/>
    <col min="6493" max="6493" width="9.1796875" style="43" customWidth="1"/>
    <col min="6494" max="6494" width="0.81640625" style="43" customWidth="1"/>
    <col min="6495" max="6495" width="8.453125" style="43" customWidth="1"/>
    <col min="6496" max="6496" width="0.81640625" style="43" customWidth="1"/>
    <col min="6497" max="6497" width="8.453125" style="43" customWidth="1"/>
    <col min="6498" max="6498" width="0.81640625" style="43" customWidth="1"/>
    <col min="6499" max="6500" width="8.453125" style="43" customWidth="1"/>
    <col min="6501" max="6501" width="26.1796875" style="43" customWidth="1"/>
    <col min="6502" max="6671" width="10.453125" style="43" customWidth="1"/>
    <col min="6672" max="6744" width="10.453125" style="43"/>
    <col min="6745" max="6745" width="6.453125" style="43" customWidth="1"/>
    <col min="6746" max="6748" width="8.453125" style="43" customWidth="1"/>
    <col min="6749" max="6749" width="9.1796875" style="43" customWidth="1"/>
    <col min="6750" max="6750" width="0.81640625" style="43" customWidth="1"/>
    <col min="6751" max="6751" width="8.453125" style="43" customWidth="1"/>
    <col min="6752" max="6752" width="0.81640625" style="43" customWidth="1"/>
    <col min="6753" max="6753" width="8.453125" style="43" customWidth="1"/>
    <col min="6754" max="6754" width="0.81640625" style="43" customWidth="1"/>
    <col min="6755" max="6756" width="8.453125" style="43" customWidth="1"/>
    <col min="6757" max="6757" width="26.1796875" style="43" customWidth="1"/>
    <col min="6758" max="6927" width="10.453125" style="43" customWidth="1"/>
    <col min="6928" max="7000" width="10.453125" style="43"/>
    <col min="7001" max="7001" width="6.453125" style="43" customWidth="1"/>
    <col min="7002" max="7004" width="8.453125" style="43" customWidth="1"/>
    <col min="7005" max="7005" width="9.1796875" style="43" customWidth="1"/>
    <col min="7006" max="7006" width="0.81640625" style="43" customWidth="1"/>
    <col min="7007" max="7007" width="8.453125" style="43" customWidth="1"/>
    <col min="7008" max="7008" width="0.81640625" style="43" customWidth="1"/>
    <col min="7009" max="7009" width="8.453125" style="43" customWidth="1"/>
    <col min="7010" max="7010" width="0.81640625" style="43" customWidth="1"/>
    <col min="7011" max="7012" width="8.453125" style="43" customWidth="1"/>
    <col min="7013" max="7013" width="26.1796875" style="43" customWidth="1"/>
    <col min="7014" max="7183" width="10.453125" style="43" customWidth="1"/>
    <col min="7184" max="7256" width="10.453125" style="43"/>
    <col min="7257" max="7257" width="6.453125" style="43" customWidth="1"/>
    <col min="7258" max="7260" width="8.453125" style="43" customWidth="1"/>
    <col min="7261" max="7261" width="9.1796875" style="43" customWidth="1"/>
    <col min="7262" max="7262" width="0.81640625" style="43" customWidth="1"/>
    <col min="7263" max="7263" width="8.453125" style="43" customWidth="1"/>
    <col min="7264" max="7264" width="0.81640625" style="43" customWidth="1"/>
    <col min="7265" max="7265" width="8.453125" style="43" customWidth="1"/>
    <col min="7266" max="7266" width="0.81640625" style="43" customWidth="1"/>
    <col min="7267" max="7268" width="8.453125" style="43" customWidth="1"/>
    <col min="7269" max="7269" width="26.1796875" style="43" customWidth="1"/>
    <col min="7270" max="7439" width="10.453125" style="43" customWidth="1"/>
    <col min="7440" max="7512" width="10.453125" style="43"/>
    <col min="7513" max="7513" width="6.453125" style="43" customWidth="1"/>
    <col min="7514" max="7516" width="8.453125" style="43" customWidth="1"/>
    <col min="7517" max="7517" width="9.1796875" style="43" customWidth="1"/>
    <col min="7518" max="7518" width="0.81640625" style="43" customWidth="1"/>
    <col min="7519" max="7519" width="8.453125" style="43" customWidth="1"/>
    <col min="7520" max="7520" width="0.81640625" style="43" customWidth="1"/>
    <col min="7521" max="7521" width="8.453125" style="43" customWidth="1"/>
    <col min="7522" max="7522" width="0.81640625" style="43" customWidth="1"/>
    <col min="7523" max="7524" width="8.453125" style="43" customWidth="1"/>
    <col min="7525" max="7525" width="26.1796875" style="43" customWidth="1"/>
    <col min="7526" max="7695" width="10.453125" style="43" customWidth="1"/>
    <col min="7696" max="7768" width="10.453125" style="43"/>
    <col min="7769" max="7769" width="6.453125" style="43" customWidth="1"/>
    <col min="7770" max="7772" width="8.453125" style="43" customWidth="1"/>
    <col min="7773" max="7773" width="9.1796875" style="43" customWidth="1"/>
    <col min="7774" max="7774" width="0.81640625" style="43" customWidth="1"/>
    <col min="7775" max="7775" width="8.453125" style="43" customWidth="1"/>
    <col min="7776" max="7776" width="0.81640625" style="43" customWidth="1"/>
    <col min="7777" max="7777" width="8.453125" style="43" customWidth="1"/>
    <col min="7778" max="7778" width="0.81640625" style="43" customWidth="1"/>
    <col min="7779" max="7780" width="8.453125" style="43" customWidth="1"/>
    <col min="7781" max="7781" width="26.1796875" style="43" customWidth="1"/>
    <col min="7782" max="7951" width="10.453125" style="43" customWidth="1"/>
    <col min="7952" max="8024" width="10.453125" style="43"/>
    <col min="8025" max="8025" width="6.453125" style="43" customWidth="1"/>
    <col min="8026" max="8028" width="8.453125" style="43" customWidth="1"/>
    <col min="8029" max="8029" width="9.1796875" style="43" customWidth="1"/>
    <col min="8030" max="8030" width="0.81640625" style="43" customWidth="1"/>
    <col min="8031" max="8031" width="8.453125" style="43" customWidth="1"/>
    <col min="8032" max="8032" width="0.81640625" style="43" customWidth="1"/>
    <col min="8033" max="8033" width="8.453125" style="43" customWidth="1"/>
    <col min="8034" max="8034" width="0.81640625" style="43" customWidth="1"/>
    <col min="8035" max="8036" width="8.453125" style="43" customWidth="1"/>
    <col min="8037" max="8037" width="26.1796875" style="43" customWidth="1"/>
    <col min="8038" max="8207" width="10.453125" style="43" customWidth="1"/>
    <col min="8208" max="8280" width="10.453125" style="43"/>
    <col min="8281" max="8281" width="6.453125" style="43" customWidth="1"/>
    <col min="8282" max="8284" width="8.453125" style="43" customWidth="1"/>
    <col min="8285" max="8285" width="9.1796875" style="43" customWidth="1"/>
    <col min="8286" max="8286" width="0.81640625" style="43" customWidth="1"/>
    <col min="8287" max="8287" width="8.453125" style="43" customWidth="1"/>
    <col min="8288" max="8288" width="0.81640625" style="43" customWidth="1"/>
    <col min="8289" max="8289" width="8.453125" style="43" customWidth="1"/>
    <col min="8290" max="8290" width="0.81640625" style="43" customWidth="1"/>
    <col min="8291" max="8292" width="8.453125" style="43" customWidth="1"/>
    <col min="8293" max="8293" width="26.1796875" style="43" customWidth="1"/>
    <col min="8294" max="8463" width="10.453125" style="43" customWidth="1"/>
    <col min="8464" max="8536" width="10.453125" style="43"/>
    <col min="8537" max="8537" width="6.453125" style="43" customWidth="1"/>
    <col min="8538" max="8540" width="8.453125" style="43" customWidth="1"/>
    <col min="8541" max="8541" width="9.1796875" style="43" customWidth="1"/>
    <col min="8542" max="8542" width="0.81640625" style="43" customWidth="1"/>
    <col min="8543" max="8543" width="8.453125" style="43" customWidth="1"/>
    <col min="8544" max="8544" width="0.81640625" style="43" customWidth="1"/>
    <col min="8545" max="8545" width="8.453125" style="43" customWidth="1"/>
    <col min="8546" max="8546" width="0.81640625" style="43" customWidth="1"/>
    <col min="8547" max="8548" width="8.453125" style="43" customWidth="1"/>
    <col min="8549" max="8549" width="26.1796875" style="43" customWidth="1"/>
    <col min="8550" max="8719" width="10.453125" style="43" customWidth="1"/>
    <col min="8720" max="8792" width="10.453125" style="43"/>
    <col min="8793" max="8793" width="6.453125" style="43" customWidth="1"/>
    <col min="8794" max="8796" width="8.453125" style="43" customWidth="1"/>
    <col min="8797" max="8797" width="9.1796875" style="43" customWidth="1"/>
    <col min="8798" max="8798" width="0.81640625" style="43" customWidth="1"/>
    <col min="8799" max="8799" width="8.453125" style="43" customWidth="1"/>
    <col min="8800" max="8800" width="0.81640625" style="43" customWidth="1"/>
    <col min="8801" max="8801" width="8.453125" style="43" customWidth="1"/>
    <col min="8802" max="8802" width="0.81640625" style="43" customWidth="1"/>
    <col min="8803" max="8804" width="8.453125" style="43" customWidth="1"/>
    <col min="8805" max="8805" width="26.1796875" style="43" customWidth="1"/>
    <col min="8806" max="8975" width="10.453125" style="43" customWidth="1"/>
    <col min="8976" max="9048" width="10.453125" style="43"/>
    <col min="9049" max="9049" width="6.453125" style="43" customWidth="1"/>
    <col min="9050" max="9052" width="8.453125" style="43" customWidth="1"/>
    <col min="9053" max="9053" width="9.1796875" style="43" customWidth="1"/>
    <col min="9054" max="9054" width="0.81640625" style="43" customWidth="1"/>
    <col min="9055" max="9055" width="8.453125" style="43" customWidth="1"/>
    <col min="9056" max="9056" width="0.81640625" style="43" customWidth="1"/>
    <col min="9057" max="9057" width="8.453125" style="43" customWidth="1"/>
    <col min="9058" max="9058" width="0.81640625" style="43" customWidth="1"/>
    <col min="9059" max="9060" width="8.453125" style="43" customWidth="1"/>
    <col min="9061" max="9061" width="26.1796875" style="43" customWidth="1"/>
    <col min="9062" max="9231" width="10.453125" style="43" customWidth="1"/>
    <col min="9232" max="9304" width="10.453125" style="43"/>
    <col min="9305" max="9305" width="6.453125" style="43" customWidth="1"/>
    <col min="9306" max="9308" width="8.453125" style="43" customWidth="1"/>
    <col min="9309" max="9309" width="9.1796875" style="43" customWidth="1"/>
    <col min="9310" max="9310" width="0.81640625" style="43" customWidth="1"/>
    <col min="9311" max="9311" width="8.453125" style="43" customWidth="1"/>
    <col min="9312" max="9312" width="0.81640625" style="43" customWidth="1"/>
    <col min="9313" max="9313" width="8.453125" style="43" customWidth="1"/>
    <col min="9314" max="9314" width="0.81640625" style="43" customWidth="1"/>
    <col min="9315" max="9316" width="8.453125" style="43" customWidth="1"/>
    <col min="9317" max="9317" width="26.1796875" style="43" customWidth="1"/>
    <col min="9318" max="9487" width="10.453125" style="43" customWidth="1"/>
    <col min="9488" max="9560" width="10.453125" style="43"/>
    <col min="9561" max="9561" width="6.453125" style="43" customWidth="1"/>
    <col min="9562" max="9564" width="8.453125" style="43" customWidth="1"/>
    <col min="9565" max="9565" width="9.1796875" style="43" customWidth="1"/>
    <col min="9566" max="9566" width="0.81640625" style="43" customWidth="1"/>
    <col min="9567" max="9567" width="8.453125" style="43" customWidth="1"/>
    <col min="9568" max="9568" width="0.81640625" style="43" customWidth="1"/>
    <col min="9569" max="9569" width="8.453125" style="43" customWidth="1"/>
    <col min="9570" max="9570" width="0.81640625" style="43" customWidth="1"/>
    <col min="9571" max="9572" width="8.453125" style="43" customWidth="1"/>
    <col min="9573" max="9573" width="26.1796875" style="43" customWidth="1"/>
    <col min="9574" max="9743" width="10.453125" style="43" customWidth="1"/>
    <col min="9744" max="9816" width="10.453125" style="43"/>
    <col min="9817" max="9817" width="6.453125" style="43" customWidth="1"/>
    <col min="9818" max="9820" width="8.453125" style="43" customWidth="1"/>
    <col min="9821" max="9821" width="9.1796875" style="43" customWidth="1"/>
    <col min="9822" max="9822" width="0.81640625" style="43" customWidth="1"/>
    <col min="9823" max="9823" width="8.453125" style="43" customWidth="1"/>
    <col min="9824" max="9824" width="0.81640625" style="43" customWidth="1"/>
    <col min="9825" max="9825" width="8.453125" style="43" customWidth="1"/>
    <col min="9826" max="9826" width="0.81640625" style="43" customWidth="1"/>
    <col min="9827" max="9828" width="8.453125" style="43" customWidth="1"/>
    <col min="9829" max="9829" width="26.1796875" style="43" customWidth="1"/>
    <col min="9830" max="9999" width="10.453125" style="43" customWidth="1"/>
    <col min="10000" max="10072" width="10.453125" style="43"/>
    <col min="10073" max="10073" width="6.453125" style="43" customWidth="1"/>
    <col min="10074" max="10076" width="8.453125" style="43" customWidth="1"/>
    <col min="10077" max="10077" width="9.1796875" style="43" customWidth="1"/>
    <col min="10078" max="10078" width="0.81640625" style="43" customWidth="1"/>
    <col min="10079" max="10079" width="8.453125" style="43" customWidth="1"/>
    <col min="10080" max="10080" width="0.81640625" style="43" customWidth="1"/>
    <col min="10081" max="10081" width="8.453125" style="43" customWidth="1"/>
    <col min="10082" max="10082" width="0.81640625" style="43" customWidth="1"/>
    <col min="10083" max="10084" width="8.453125" style="43" customWidth="1"/>
    <col min="10085" max="10085" width="26.1796875" style="43" customWidth="1"/>
    <col min="10086" max="10255" width="10.453125" style="43" customWidth="1"/>
    <col min="10256" max="10328" width="10.453125" style="43"/>
    <col min="10329" max="10329" width="6.453125" style="43" customWidth="1"/>
    <col min="10330" max="10332" width="8.453125" style="43" customWidth="1"/>
    <col min="10333" max="10333" width="9.1796875" style="43" customWidth="1"/>
    <col min="10334" max="10334" width="0.81640625" style="43" customWidth="1"/>
    <col min="10335" max="10335" width="8.453125" style="43" customWidth="1"/>
    <col min="10336" max="10336" width="0.81640625" style="43" customWidth="1"/>
    <col min="10337" max="10337" width="8.453125" style="43" customWidth="1"/>
    <col min="10338" max="10338" width="0.81640625" style="43" customWidth="1"/>
    <col min="10339" max="10340" width="8.453125" style="43" customWidth="1"/>
    <col min="10341" max="10341" width="26.1796875" style="43" customWidth="1"/>
    <col min="10342" max="10511" width="10.453125" style="43" customWidth="1"/>
    <col min="10512" max="10584" width="10.453125" style="43"/>
    <col min="10585" max="10585" width="6.453125" style="43" customWidth="1"/>
    <col min="10586" max="10588" width="8.453125" style="43" customWidth="1"/>
    <col min="10589" max="10589" width="9.1796875" style="43" customWidth="1"/>
    <col min="10590" max="10590" width="0.81640625" style="43" customWidth="1"/>
    <col min="10591" max="10591" width="8.453125" style="43" customWidth="1"/>
    <col min="10592" max="10592" width="0.81640625" style="43" customWidth="1"/>
    <col min="10593" max="10593" width="8.453125" style="43" customWidth="1"/>
    <col min="10594" max="10594" width="0.81640625" style="43" customWidth="1"/>
    <col min="10595" max="10596" width="8.453125" style="43" customWidth="1"/>
    <col min="10597" max="10597" width="26.1796875" style="43" customWidth="1"/>
    <col min="10598" max="10767" width="10.453125" style="43" customWidth="1"/>
    <col min="10768" max="10840" width="10.453125" style="43"/>
    <col min="10841" max="10841" width="6.453125" style="43" customWidth="1"/>
    <col min="10842" max="10844" width="8.453125" style="43" customWidth="1"/>
    <col min="10845" max="10845" width="9.1796875" style="43" customWidth="1"/>
    <col min="10846" max="10846" width="0.81640625" style="43" customWidth="1"/>
    <col min="10847" max="10847" width="8.453125" style="43" customWidth="1"/>
    <col min="10848" max="10848" width="0.81640625" style="43" customWidth="1"/>
    <col min="10849" max="10849" width="8.453125" style="43" customWidth="1"/>
    <col min="10850" max="10850" width="0.81640625" style="43" customWidth="1"/>
    <col min="10851" max="10852" width="8.453125" style="43" customWidth="1"/>
    <col min="10853" max="10853" width="26.1796875" style="43" customWidth="1"/>
    <col min="10854" max="11023" width="10.453125" style="43" customWidth="1"/>
    <col min="11024" max="11096" width="10.453125" style="43"/>
    <col min="11097" max="11097" width="6.453125" style="43" customWidth="1"/>
    <col min="11098" max="11100" width="8.453125" style="43" customWidth="1"/>
    <col min="11101" max="11101" width="9.1796875" style="43" customWidth="1"/>
    <col min="11102" max="11102" width="0.81640625" style="43" customWidth="1"/>
    <col min="11103" max="11103" width="8.453125" style="43" customWidth="1"/>
    <col min="11104" max="11104" width="0.81640625" style="43" customWidth="1"/>
    <col min="11105" max="11105" width="8.453125" style="43" customWidth="1"/>
    <col min="11106" max="11106" width="0.81640625" style="43" customWidth="1"/>
    <col min="11107" max="11108" width="8.453125" style="43" customWidth="1"/>
    <col min="11109" max="11109" width="26.1796875" style="43" customWidth="1"/>
    <col min="11110" max="11279" width="10.453125" style="43" customWidth="1"/>
    <col min="11280" max="11352" width="10.453125" style="43"/>
    <col min="11353" max="11353" width="6.453125" style="43" customWidth="1"/>
    <col min="11354" max="11356" width="8.453125" style="43" customWidth="1"/>
    <col min="11357" max="11357" width="9.1796875" style="43" customWidth="1"/>
    <col min="11358" max="11358" width="0.81640625" style="43" customWidth="1"/>
    <col min="11359" max="11359" width="8.453125" style="43" customWidth="1"/>
    <col min="11360" max="11360" width="0.81640625" style="43" customWidth="1"/>
    <col min="11361" max="11361" width="8.453125" style="43" customWidth="1"/>
    <col min="11362" max="11362" width="0.81640625" style="43" customWidth="1"/>
    <col min="11363" max="11364" width="8.453125" style="43" customWidth="1"/>
    <col min="11365" max="11365" width="26.1796875" style="43" customWidth="1"/>
    <col min="11366" max="11535" width="10.453125" style="43" customWidth="1"/>
    <col min="11536" max="11608" width="10.453125" style="43"/>
    <col min="11609" max="11609" width="6.453125" style="43" customWidth="1"/>
    <col min="11610" max="11612" width="8.453125" style="43" customWidth="1"/>
    <col min="11613" max="11613" width="9.1796875" style="43" customWidth="1"/>
    <col min="11614" max="11614" width="0.81640625" style="43" customWidth="1"/>
    <col min="11615" max="11615" width="8.453125" style="43" customWidth="1"/>
    <col min="11616" max="11616" width="0.81640625" style="43" customWidth="1"/>
    <col min="11617" max="11617" width="8.453125" style="43" customWidth="1"/>
    <col min="11618" max="11618" width="0.81640625" style="43" customWidth="1"/>
    <col min="11619" max="11620" width="8.453125" style="43" customWidth="1"/>
    <col min="11621" max="11621" width="26.1796875" style="43" customWidth="1"/>
    <col min="11622" max="11791" width="10.453125" style="43" customWidth="1"/>
    <col min="11792" max="11864" width="10.453125" style="43"/>
    <col min="11865" max="11865" width="6.453125" style="43" customWidth="1"/>
    <col min="11866" max="11868" width="8.453125" style="43" customWidth="1"/>
    <col min="11869" max="11869" width="9.1796875" style="43" customWidth="1"/>
    <col min="11870" max="11870" width="0.81640625" style="43" customWidth="1"/>
    <col min="11871" max="11871" width="8.453125" style="43" customWidth="1"/>
    <col min="11872" max="11872" width="0.81640625" style="43" customWidth="1"/>
    <col min="11873" max="11873" width="8.453125" style="43" customWidth="1"/>
    <col min="11874" max="11874" width="0.81640625" style="43" customWidth="1"/>
    <col min="11875" max="11876" width="8.453125" style="43" customWidth="1"/>
    <col min="11877" max="11877" width="26.1796875" style="43" customWidth="1"/>
    <col min="11878" max="12047" width="10.453125" style="43" customWidth="1"/>
    <col min="12048" max="12120" width="10.453125" style="43"/>
    <col min="12121" max="12121" width="6.453125" style="43" customWidth="1"/>
    <col min="12122" max="12124" width="8.453125" style="43" customWidth="1"/>
    <col min="12125" max="12125" width="9.1796875" style="43" customWidth="1"/>
    <col min="12126" max="12126" width="0.81640625" style="43" customWidth="1"/>
    <col min="12127" max="12127" width="8.453125" style="43" customWidth="1"/>
    <col min="12128" max="12128" width="0.81640625" style="43" customWidth="1"/>
    <col min="12129" max="12129" width="8.453125" style="43" customWidth="1"/>
    <col min="12130" max="12130" width="0.81640625" style="43" customWidth="1"/>
    <col min="12131" max="12132" width="8.453125" style="43" customWidth="1"/>
    <col min="12133" max="12133" width="26.1796875" style="43" customWidth="1"/>
    <col min="12134" max="12303" width="10.453125" style="43" customWidth="1"/>
    <col min="12304" max="12376" width="10.453125" style="43"/>
    <col min="12377" max="12377" width="6.453125" style="43" customWidth="1"/>
    <col min="12378" max="12380" width="8.453125" style="43" customWidth="1"/>
    <col min="12381" max="12381" width="9.1796875" style="43" customWidth="1"/>
    <col min="12382" max="12382" width="0.81640625" style="43" customWidth="1"/>
    <col min="12383" max="12383" width="8.453125" style="43" customWidth="1"/>
    <col min="12384" max="12384" width="0.81640625" style="43" customWidth="1"/>
    <col min="12385" max="12385" width="8.453125" style="43" customWidth="1"/>
    <col min="12386" max="12386" width="0.81640625" style="43" customWidth="1"/>
    <col min="12387" max="12388" width="8.453125" style="43" customWidth="1"/>
    <col min="12389" max="12389" width="26.1796875" style="43" customWidth="1"/>
    <col min="12390" max="12559" width="10.453125" style="43" customWidth="1"/>
    <col min="12560" max="12632" width="10.453125" style="43"/>
    <col min="12633" max="12633" width="6.453125" style="43" customWidth="1"/>
    <col min="12634" max="12636" width="8.453125" style="43" customWidth="1"/>
    <col min="12637" max="12637" width="9.1796875" style="43" customWidth="1"/>
    <col min="12638" max="12638" width="0.81640625" style="43" customWidth="1"/>
    <col min="12639" max="12639" width="8.453125" style="43" customWidth="1"/>
    <col min="12640" max="12640" width="0.81640625" style="43" customWidth="1"/>
    <col min="12641" max="12641" width="8.453125" style="43" customWidth="1"/>
    <col min="12642" max="12642" width="0.81640625" style="43" customWidth="1"/>
    <col min="12643" max="12644" width="8.453125" style="43" customWidth="1"/>
    <col min="12645" max="12645" width="26.1796875" style="43" customWidth="1"/>
    <col min="12646" max="12815" width="10.453125" style="43" customWidth="1"/>
    <col min="12816" max="12888" width="10.453125" style="43"/>
    <col min="12889" max="12889" width="6.453125" style="43" customWidth="1"/>
    <col min="12890" max="12892" width="8.453125" style="43" customWidth="1"/>
    <col min="12893" max="12893" width="9.1796875" style="43" customWidth="1"/>
    <col min="12894" max="12894" width="0.81640625" style="43" customWidth="1"/>
    <col min="12895" max="12895" width="8.453125" style="43" customWidth="1"/>
    <col min="12896" max="12896" width="0.81640625" style="43" customWidth="1"/>
    <col min="12897" max="12897" width="8.453125" style="43" customWidth="1"/>
    <col min="12898" max="12898" width="0.81640625" style="43" customWidth="1"/>
    <col min="12899" max="12900" width="8.453125" style="43" customWidth="1"/>
    <col min="12901" max="12901" width="26.1796875" style="43" customWidth="1"/>
    <col min="12902" max="13071" width="10.453125" style="43" customWidth="1"/>
    <col min="13072" max="13144" width="10.453125" style="43"/>
    <col min="13145" max="13145" width="6.453125" style="43" customWidth="1"/>
    <col min="13146" max="13148" width="8.453125" style="43" customWidth="1"/>
    <col min="13149" max="13149" width="9.1796875" style="43" customWidth="1"/>
    <col min="13150" max="13150" width="0.81640625" style="43" customWidth="1"/>
    <col min="13151" max="13151" width="8.453125" style="43" customWidth="1"/>
    <col min="13152" max="13152" width="0.81640625" style="43" customWidth="1"/>
    <col min="13153" max="13153" width="8.453125" style="43" customWidth="1"/>
    <col min="13154" max="13154" width="0.81640625" style="43" customWidth="1"/>
    <col min="13155" max="13156" width="8.453125" style="43" customWidth="1"/>
    <col min="13157" max="13157" width="26.1796875" style="43" customWidth="1"/>
    <col min="13158" max="13327" width="10.453125" style="43" customWidth="1"/>
    <col min="13328" max="13400" width="10.453125" style="43"/>
    <col min="13401" max="13401" width="6.453125" style="43" customWidth="1"/>
    <col min="13402" max="13404" width="8.453125" style="43" customWidth="1"/>
    <col min="13405" max="13405" width="9.1796875" style="43" customWidth="1"/>
    <col min="13406" max="13406" width="0.81640625" style="43" customWidth="1"/>
    <col min="13407" max="13407" width="8.453125" style="43" customWidth="1"/>
    <col min="13408" max="13408" width="0.81640625" style="43" customWidth="1"/>
    <col min="13409" max="13409" width="8.453125" style="43" customWidth="1"/>
    <col min="13410" max="13410" width="0.81640625" style="43" customWidth="1"/>
    <col min="13411" max="13412" width="8.453125" style="43" customWidth="1"/>
    <col min="13413" max="13413" width="26.1796875" style="43" customWidth="1"/>
    <col min="13414" max="13583" width="10.453125" style="43" customWidth="1"/>
    <col min="13584" max="13656" width="10.453125" style="43"/>
    <col min="13657" max="13657" width="6.453125" style="43" customWidth="1"/>
    <col min="13658" max="13660" width="8.453125" style="43" customWidth="1"/>
    <col min="13661" max="13661" width="9.1796875" style="43" customWidth="1"/>
    <col min="13662" max="13662" width="0.81640625" style="43" customWidth="1"/>
    <col min="13663" max="13663" width="8.453125" style="43" customWidth="1"/>
    <col min="13664" max="13664" width="0.81640625" style="43" customWidth="1"/>
    <col min="13665" max="13665" width="8.453125" style="43" customWidth="1"/>
    <col min="13666" max="13666" width="0.81640625" style="43" customWidth="1"/>
    <col min="13667" max="13668" width="8.453125" style="43" customWidth="1"/>
    <col min="13669" max="13669" width="26.1796875" style="43" customWidth="1"/>
    <col min="13670" max="13839" width="10.453125" style="43" customWidth="1"/>
    <col min="13840" max="13912" width="10.453125" style="43"/>
    <col min="13913" max="13913" width="6.453125" style="43" customWidth="1"/>
    <col min="13914" max="13916" width="8.453125" style="43" customWidth="1"/>
    <col min="13917" max="13917" width="9.1796875" style="43" customWidth="1"/>
    <col min="13918" max="13918" width="0.81640625" style="43" customWidth="1"/>
    <col min="13919" max="13919" width="8.453125" style="43" customWidth="1"/>
    <col min="13920" max="13920" width="0.81640625" style="43" customWidth="1"/>
    <col min="13921" max="13921" width="8.453125" style="43" customWidth="1"/>
    <col min="13922" max="13922" width="0.81640625" style="43" customWidth="1"/>
    <col min="13923" max="13924" width="8.453125" style="43" customWidth="1"/>
    <col min="13925" max="13925" width="26.1796875" style="43" customWidth="1"/>
    <col min="13926" max="14095" width="10.453125" style="43" customWidth="1"/>
    <col min="14096" max="14168" width="10.453125" style="43"/>
    <col min="14169" max="14169" width="6.453125" style="43" customWidth="1"/>
    <col min="14170" max="14172" width="8.453125" style="43" customWidth="1"/>
    <col min="14173" max="14173" width="9.1796875" style="43" customWidth="1"/>
    <col min="14174" max="14174" width="0.81640625" style="43" customWidth="1"/>
    <col min="14175" max="14175" width="8.453125" style="43" customWidth="1"/>
    <col min="14176" max="14176" width="0.81640625" style="43" customWidth="1"/>
    <col min="14177" max="14177" width="8.453125" style="43" customWidth="1"/>
    <col min="14178" max="14178" width="0.81640625" style="43" customWidth="1"/>
    <col min="14179" max="14180" width="8.453125" style="43" customWidth="1"/>
    <col min="14181" max="14181" width="26.1796875" style="43" customWidth="1"/>
    <col min="14182" max="14351" width="10.453125" style="43" customWidth="1"/>
    <col min="14352" max="14424" width="10.453125" style="43"/>
    <col min="14425" max="14425" width="6.453125" style="43" customWidth="1"/>
    <col min="14426" max="14428" width="8.453125" style="43" customWidth="1"/>
    <col min="14429" max="14429" width="9.1796875" style="43" customWidth="1"/>
    <col min="14430" max="14430" width="0.81640625" style="43" customWidth="1"/>
    <col min="14431" max="14431" width="8.453125" style="43" customWidth="1"/>
    <col min="14432" max="14432" width="0.81640625" style="43" customWidth="1"/>
    <col min="14433" max="14433" width="8.453125" style="43" customWidth="1"/>
    <col min="14434" max="14434" width="0.81640625" style="43" customWidth="1"/>
    <col min="14435" max="14436" width="8.453125" style="43" customWidth="1"/>
    <col min="14437" max="14437" width="26.1796875" style="43" customWidth="1"/>
    <col min="14438" max="14607" width="10.453125" style="43" customWidth="1"/>
    <col min="14608" max="14680" width="10.453125" style="43"/>
    <col min="14681" max="14681" width="6.453125" style="43" customWidth="1"/>
    <col min="14682" max="14684" width="8.453125" style="43" customWidth="1"/>
    <col min="14685" max="14685" width="9.1796875" style="43" customWidth="1"/>
    <col min="14686" max="14686" width="0.81640625" style="43" customWidth="1"/>
    <col min="14687" max="14687" width="8.453125" style="43" customWidth="1"/>
    <col min="14688" max="14688" width="0.81640625" style="43" customWidth="1"/>
    <col min="14689" max="14689" width="8.453125" style="43" customWidth="1"/>
    <col min="14690" max="14690" width="0.81640625" style="43" customWidth="1"/>
    <col min="14691" max="14692" width="8.453125" style="43" customWidth="1"/>
    <col min="14693" max="14693" width="26.1796875" style="43" customWidth="1"/>
    <col min="14694" max="14863" width="10.453125" style="43" customWidth="1"/>
    <col min="14864" max="14936" width="10.453125" style="43"/>
    <col min="14937" max="14937" width="6.453125" style="43" customWidth="1"/>
    <col min="14938" max="14940" width="8.453125" style="43" customWidth="1"/>
    <col min="14941" max="14941" width="9.1796875" style="43" customWidth="1"/>
    <col min="14942" max="14942" width="0.81640625" style="43" customWidth="1"/>
    <col min="14943" max="14943" width="8.453125" style="43" customWidth="1"/>
    <col min="14944" max="14944" width="0.81640625" style="43" customWidth="1"/>
    <col min="14945" max="14945" width="8.453125" style="43" customWidth="1"/>
    <col min="14946" max="14946" width="0.81640625" style="43" customWidth="1"/>
    <col min="14947" max="14948" width="8.453125" style="43" customWidth="1"/>
    <col min="14949" max="14949" width="26.1796875" style="43" customWidth="1"/>
    <col min="14950" max="15119" width="10.453125" style="43" customWidth="1"/>
    <col min="15120" max="15192" width="10.453125" style="43"/>
    <col min="15193" max="15193" width="6.453125" style="43" customWidth="1"/>
    <col min="15194" max="15196" width="8.453125" style="43" customWidth="1"/>
    <col min="15197" max="15197" width="9.1796875" style="43" customWidth="1"/>
    <col min="15198" max="15198" width="0.81640625" style="43" customWidth="1"/>
    <col min="15199" max="15199" width="8.453125" style="43" customWidth="1"/>
    <col min="15200" max="15200" width="0.81640625" style="43" customWidth="1"/>
    <col min="15201" max="15201" width="8.453125" style="43" customWidth="1"/>
    <col min="15202" max="15202" width="0.81640625" style="43" customWidth="1"/>
    <col min="15203" max="15204" width="8.453125" style="43" customWidth="1"/>
    <col min="15205" max="15205" width="26.1796875" style="43" customWidth="1"/>
    <col min="15206" max="15375" width="10.453125" style="43" customWidth="1"/>
    <col min="15376" max="15448" width="10.453125" style="43"/>
    <col min="15449" max="15449" width="6.453125" style="43" customWidth="1"/>
    <col min="15450" max="15452" width="8.453125" style="43" customWidth="1"/>
    <col min="15453" max="15453" width="9.1796875" style="43" customWidth="1"/>
    <col min="15454" max="15454" width="0.81640625" style="43" customWidth="1"/>
    <col min="15455" max="15455" width="8.453125" style="43" customWidth="1"/>
    <col min="15456" max="15456" width="0.81640625" style="43" customWidth="1"/>
    <col min="15457" max="15457" width="8.453125" style="43" customWidth="1"/>
    <col min="15458" max="15458" width="0.81640625" style="43" customWidth="1"/>
    <col min="15459" max="15460" width="8.453125" style="43" customWidth="1"/>
    <col min="15461" max="15461" width="26.1796875" style="43" customWidth="1"/>
    <col min="15462" max="15631" width="10.453125" style="43" customWidth="1"/>
    <col min="15632" max="15704" width="10.453125" style="43"/>
    <col min="15705" max="15705" width="6.453125" style="43" customWidth="1"/>
    <col min="15706" max="15708" width="8.453125" style="43" customWidth="1"/>
    <col min="15709" max="15709" width="9.1796875" style="43" customWidth="1"/>
    <col min="15710" max="15710" width="0.81640625" style="43" customWidth="1"/>
    <col min="15711" max="15711" width="8.453125" style="43" customWidth="1"/>
    <col min="15712" max="15712" width="0.81640625" style="43" customWidth="1"/>
    <col min="15713" max="15713" width="8.453125" style="43" customWidth="1"/>
    <col min="15714" max="15714" width="0.81640625" style="43" customWidth="1"/>
    <col min="15715" max="15716" width="8.453125" style="43" customWidth="1"/>
    <col min="15717" max="15717" width="26.1796875" style="43" customWidth="1"/>
    <col min="15718" max="15887" width="10.453125" style="43" customWidth="1"/>
    <col min="15888" max="15960" width="10.453125" style="43"/>
    <col min="15961" max="15961" width="6.453125" style="43" customWidth="1"/>
    <col min="15962" max="15964" width="8.453125" style="43" customWidth="1"/>
    <col min="15965" max="15965" width="9.1796875" style="43" customWidth="1"/>
    <col min="15966" max="15966" width="0.81640625" style="43" customWidth="1"/>
    <col min="15967" max="15967" width="8.453125" style="43" customWidth="1"/>
    <col min="15968" max="15968" width="0.81640625" style="43" customWidth="1"/>
    <col min="15969" max="15969" width="8.453125" style="43" customWidth="1"/>
    <col min="15970" max="15970" width="0.81640625" style="43" customWidth="1"/>
    <col min="15971" max="15972" width="8.453125" style="43" customWidth="1"/>
    <col min="15973" max="15973" width="26.1796875" style="43" customWidth="1"/>
    <col min="15974" max="16143" width="10.453125" style="43" customWidth="1"/>
    <col min="16144" max="16384" width="10.453125" style="43"/>
  </cols>
  <sheetData>
    <row r="1" spans="1:15" ht="12" customHeight="1" x14ac:dyDescent="0.25">
      <c r="A1" s="42"/>
      <c r="B1" s="42"/>
    </row>
    <row r="2" spans="1:15" ht="13" x14ac:dyDescent="0.3">
      <c r="A2" s="46">
        <v>1</v>
      </c>
      <c r="B2" s="46"/>
      <c r="C2" s="47" t="s">
        <v>67</v>
      </c>
      <c r="D2" s="47"/>
      <c r="E2" s="48"/>
      <c r="F2" s="48"/>
      <c r="G2" s="47"/>
      <c r="H2" s="48"/>
      <c r="I2" s="47"/>
      <c r="J2" s="48"/>
      <c r="K2" s="47"/>
    </row>
    <row r="4" spans="1:15" x14ac:dyDescent="0.25">
      <c r="C4" s="43" t="s">
        <v>68</v>
      </c>
      <c r="D4" s="49" t="s">
        <v>116</v>
      </c>
      <c r="E4" s="49"/>
      <c r="I4" s="43" t="s">
        <v>69</v>
      </c>
      <c r="K4" s="49">
        <v>42036</v>
      </c>
    </row>
    <row r="5" spans="1:15" ht="13" x14ac:dyDescent="0.3">
      <c r="C5" s="43" t="s">
        <v>0</v>
      </c>
      <c r="D5" s="49" t="s">
        <v>117</v>
      </c>
      <c r="E5" s="49"/>
      <c r="I5" s="43" t="s">
        <v>70</v>
      </c>
      <c r="K5" s="50">
        <v>1</v>
      </c>
    </row>
    <row r="6" spans="1:15" ht="13" x14ac:dyDescent="0.3">
      <c r="C6" s="43" t="s">
        <v>71</v>
      </c>
      <c r="D6" s="49" t="s">
        <v>118</v>
      </c>
      <c r="E6" s="49"/>
      <c r="I6" s="43" t="s">
        <v>72</v>
      </c>
      <c r="K6" s="50" t="s">
        <v>81</v>
      </c>
    </row>
    <row r="8" spans="1:15" ht="13" x14ac:dyDescent="0.3">
      <c r="E8" s="51" t="s">
        <v>73</v>
      </c>
      <c r="G8" s="52" t="s">
        <v>84</v>
      </c>
      <c r="I8" s="52" t="s">
        <v>85</v>
      </c>
      <c r="K8" s="52" t="s">
        <v>86</v>
      </c>
      <c r="M8" s="52" t="s">
        <v>87</v>
      </c>
      <c r="O8" s="52" t="s">
        <v>88</v>
      </c>
    </row>
    <row r="9" spans="1:15" ht="13" x14ac:dyDescent="0.3">
      <c r="C9" s="52" t="s">
        <v>74</v>
      </c>
      <c r="E9" s="45"/>
      <c r="F9" s="45"/>
    </row>
    <row r="10" spans="1:15" ht="13" x14ac:dyDescent="0.3">
      <c r="B10" s="64" t="s">
        <v>82</v>
      </c>
      <c r="C10" s="59" t="s">
        <v>30</v>
      </c>
      <c r="E10" s="45"/>
      <c r="F10" s="45"/>
      <c r="G10" s="54">
        <v>0</v>
      </c>
      <c r="H10" s="45"/>
      <c r="I10" s="54"/>
      <c r="J10" s="45"/>
      <c r="K10" s="54"/>
      <c r="L10" s="65"/>
      <c r="M10" s="54"/>
      <c r="O10" s="53">
        <f>SUM(G10:M10)</f>
        <v>0</v>
      </c>
    </row>
    <row r="11" spans="1:15" ht="13" x14ac:dyDescent="0.3">
      <c r="B11" s="64" t="s">
        <v>82</v>
      </c>
      <c r="C11" s="59" t="s">
        <v>59</v>
      </c>
      <c r="E11" s="45"/>
      <c r="F11" s="45"/>
      <c r="G11" s="54">
        <v>30</v>
      </c>
      <c r="H11" s="45"/>
      <c r="I11" s="54"/>
      <c r="J11" s="45"/>
      <c r="K11" s="54"/>
      <c r="L11" s="65"/>
      <c r="M11" s="54"/>
      <c r="O11" s="53">
        <f t="shared" ref="O11:O18" si="0">SUM(G11:M11)</f>
        <v>30</v>
      </c>
    </row>
    <row r="12" spans="1:15" ht="13" x14ac:dyDescent="0.3">
      <c r="C12" s="60" t="s">
        <v>60</v>
      </c>
      <c r="E12" s="45"/>
      <c r="F12" s="45"/>
      <c r="G12" s="54">
        <v>200</v>
      </c>
      <c r="H12" s="45"/>
      <c r="I12" s="54"/>
      <c r="J12" s="45"/>
      <c r="K12" s="54"/>
      <c r="L12" s="65"/>
      <c r="M12" s="54"/>
      <c r="O12" s="53">
        <f t="shared" si="0"/>
        <v>200</v>
      </c>
    </row>
    <row r="13" spans="1:15" ht="13" x14ac:dyDescent="0.3">
      <c r="B13" s="64" t="s">
        <v>82</v>
      </c>
      <c r="C13" s="59" t="s">
        <v>62</v>
      </c>
      <c r="E13" s="45"/>
      <c r="F13" s="45"/>
      <c r="G13" s="54">
        <v>830</v>
      </c>
      <c r="H13" s="45"/>
      <c r="I13" s="54"/>
      <c r="J13" s="45"/>
      <c r="K13" s="54"/>
      <c r="L13" s="65"/>
      <c r="M13" s="54"/>
      <c r="O13" s="53">
        <f t="shared" si="0"/>
        <v>830</v>
      </c>
    </row>
    <row r="14" spans="1:15" ht="13" x14ac:dyDescent="0.3">
      <c r="C14" s="60" t="s">
        <v>63</v>
      </c>
      <c r="E14" s="45"/>
      <c r="F14" s="45"/>
      <c r="G14" s="54">
        <v>60</v>
      </c>
      <c r="H14" s="45"/>
      <c r="I14" s="54"/>
      <c r="J14" s="45"/>
      <c r="K14" s="54"/>
      <c r="L14" s="65"/>
      <c r="M14" s="54"/>
      <c r="O14" s="53">
        <f t="shared" si="0"/>
        <v>60</v>
      </c>
    </row>
    <row r="15" spans="1:15" ht="13" x14ac:dyDescent="0.3">
      <c r="C15" s="60" t="s">
        <v>65</v>
      </c>
      <c r="E15" s="45"/>
      <c r="F15" s="45"/>
      <c r="G15" s="54"/>
      <c r="H15" s="45"/>
      <c r="I15" s="54"/>
      <c r="J15" s="45"/>
      <c r="K15" s="54"/>
      <c r="L15" s="65"/>
      <c r="M15" s="54"/>
      <c r="O15" s="53">
        <f t="shared" si="0"/>
        <v>0</v>
      </c>
    </row>
    <row r="16" spans="1:15" ht="13" x14ac:dyDescent="0.3">
      <c r="B16" s="64" t="s">
        <v>82</v>
      </c>
      <c r="C16" s="59" t="s">
        <v>64</v>
      </c>
      <c r="E16" s="45"/>
      <c r="F16" s="45"/>
      <c r="G16" s="54">
        <v>20</v>
      </c>
      <c r="H16" s="45"/>
      <c r="I16" s="54"/>
      <c r="J16" s="45"/>
      <c r="K16" s="54"/>
      <c r="L16" s="65"/>
      <c r="M16" s="54"/>
      <c r="O16" s="53">
        <f t="shared" si="0"/>
        <v>20</v>
      </c>
    </row>
    <row r="17" spans="2:15" ht="13" x14ac:dyDescent="0.3">
      <c r="B17" s="64" t="s">
        <v>82</v>
      </c>
      <c r="C17" s="59" t="s">
        <v>61</v>
      </c>
      <c r="E17" s="45"/>
      <c r="F17" s="45"/>
      <c r="G17" s="54">
        <v>60</v>
      </c>
      <c r="H17" s="45"/>
      <c r="I17" s="54"/>
      <c r="J17" s="45"/>
      <c r="K17" s="54"/>
      <c r="L17" s="65"/>
      <c r="M17" s="54"/>
      <c r="O17" s="53">
        <f t="shared" si="0"/>
        <v>60</v>
      </c>
    </row>
    <row r="18" spans="2:15" ht="13" x14ac:dyDescent="0.3">
      <c r="C18" s="60" t="s">
        <v>66</v>
      </c>
      <c r="E18" s="45"/>
      <c r="F18" s="45"/>
      <c r="G18" s="54"/>
      <c r="H18" s="45"/>
      <c r="I18" s="54"/>
      <c r="J18" s="45"/>
      <c r="K18" s="54"/>
      <c r="L18" s="65"/>
      <c r="M18" s="54"/>
      <c r="O18" s="53">
        <f t="shared" si="0"/>
        <v>0</v>
      </c>
    </row>
    <row r="19" spans="2:15" ht="13" x14ac:dyDescent="0.3">
      <c r="C19" s="43" t="s">
        <v>75</v>
      </c>
      <c r="E19" s="54" t="s">
        <v>97</v>
      </c>
      <c r="F19" s="45"/>
      <c r="G19" s="55">
        <f>SUM(G10:G18)</f>
        <v>1200</v>
      </c>
      <c r="H19" s="45"/>
      <c r="I19" s="55">
        <f>SUM(I10:I18)</f>
        <v>0</v>
      </c>
      <c r="J19" s="45"/>
      <c r="K19" s="55">
        <f>SUM(K10:K18)</f>
        <v>0</v>
      </c>
      <c r="L19" s="66"/>
      <c r="M19" s="55">
        <f>SUM(M10:M18)</f>
        <v>0</v>
      </c>
      <c r="O19" s="55">
        <f>SUM(O10:O18)</f>
        <v>1200</v>
      </c>
    </row>
    <row r="20" spans="2:15" ht="13" x14ac:dyDescent="0.3">
      <c r="G20" s="56"/>
      <c r="K20" s="57"/>
    </row>
    <row r="22" spans="2:15" ht="13" x14ac:dyDescent="0.3">
      <c r="B22" s="61" t="s">
        <v>83</v>
      </c>
    </row>
    <row r="40" ht="12.75" customHeight="1" x14ac:dyDescent="0.25"/>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774700</xdr:colOff>
                    <xdr:row>4</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224"/>
  <sheetViews>
    <sheetView tabSelected="1" zoomScale="120" zoomScaleNormal="120" zoomScalePageLayoutView="230" workbookViewId="0">
      <pane ySplit="1" topLeftCell="A2" activePane="bottomLeft" state="frozenSplit"/>
      <selection activeCell="E28" sqref="E28"/>
      <selection pane="bottomLeft" activeCell="G15" sqref="G15"/>
    </sheetView>
  </sheetViews>
  <sheetFormatPr baseColWidth="10" defaultColWidth="9.1796875" defaultRowHeight="11.5" x14ac:dyDescent="0.25"/>
  <cols>
    <col min="1" max="1" width="6.453125" style="28" bestFit="1" customWidth="1"/>
    <col min="2" max="2" width="10.453125" style="32" customWidth="1"/>
    <col min="3" max="3" width="9.453125" style="13" bestFit="1" customWidth="1"/>
    <col min="4" max="4" width="8.1796875" style="31" customWidth="1"/>
    <col min="5" max="5" width="8.1796875" style="11" customWidth="1"/>
    <col min="6" max="6" width="8.1796875" style="31" customWidth="1"/>
    <col min="7" max="7" width="8.1796875" style="11" customWidth="1"/>
    <col min="8" max="8" width="45.453125" style="12" customWidth="1"/>
    <col min="9" max="9" width="8.453125" style="2" customWidth="1"/>
    <col min="10" max="16384" width="9.1796875" style="2"/>
  </cols>
  <sheetData>
    <row r="1" spans="1:8" s="6" customFormat="1" ht="24" customHeight="1" x14ac:dyDescent="0.25">
      <c r="A1" s="24" t="s">
        <v>0</v>
      </c>
      <c r="B1" s="9" t="s">
        <v>76</v>
      </c>
      <c r="C1" s="8" t="s">
        <v>69</v>
      </c>
      <c r="D1" s="30" t="s">
        <v>77</v>
      </c>
      <c r="E1" s="10" t="s">
        <v>79</v>
      </c>
      <c r="F1" s="30" t="s">
        <v>78</v>
      </c>
      <c r="G1" s="10" t="s">
        <v>1</v>
      </c>
      <c r="H1" s="9" t="s">
        <v>80</v>
      </c>
    </row>
    <row r="2" spans="1:8" x14ac:dyDescent="0.25">
      <c r="A2" s="25">
        <v>1</v>
      </c>
      <c r="B2" s="33" t="s">
        <v>59</v>
      </c>
      <c r="C2" s="22">
        <v>42778</v>
      </c>
      <c r="D2" s="72">
        <v>0.92708333333333337</v>
      </c>
      <c r="E2" s="3">
        <v>0</v>
      </c>
      <c r="F2" s="72">
        <v>0.97916666666666663</v>
      </c>
      <c r="G2" s="11">
        <v>74.999999999999886</v>
      </c>
      <c r="H2" s="11" t="s">
        <v>119</v>
      </c>
    </row>
    <row r="3" spans="1:8" x14ac:dyDescent="0.25">
      <c r="A3" s="25">
        <v>1</v>
      </c>
      <c r="B3" s="33" t="s">
        <v>59</v>
      </c>
      <c r="C3" s="22">
        <v>42780</v>
      </c>
      <c r="D3" s="73">
        <v>0.72785879629629635</v>
      </c>
      <c r="E3" s="3"/>
      <c r="F3" s="73">
        <v>0.79166666666666663</v>
      </c>
      <c r="G3" s="11">
        <v>91.883333333333198</v>
      </c>
      <c r="H3" s="11" t="s">
        <v>120</v>
      </c>
    </row>
    <row r="4" spans="1:8" x14ac:dyDescent="0.25">
      <c r="A4" s="25">
        <v>1</v>
      </c>
      <c r="B4" s="33" t="s">
        <v>59</v>
      </c>
      <c r="C4" s="22">
        <v>42786</v>
      </c>
      <c r="D4" s="74">
        <v>0.92744212962962969</v>
      </c>
      <c r="E4" s="3"/>
      <c r="F4" s="74">
        <v>1.4363425925925925E-2</v>
      </c>
      <c r="G4" s="11">
        <v>125.16666666666652</v>
      </c>
      <c r="H4" s="11" t="s">
        <v>121</v>
      </c>
    </row>
    <row r="5" spans="1:8" x14ac:dyDescent="0.25">
      <c r="A5" s="25">
        <v>1</v>
      </c>
      <c r="B5" s="33" t="s">
        <v>60</v>
      </c>
      <c r="C5" s="22">
        <v>42788</v>
      </c>
      <c r="D5" s="75">
        <v>0.59438657407407403</v>
      </c>
      <c r="E5" s="3"/>
      <c r="F5" s="77">
        <v>0.62567129629629636</v>
      </c>
      <c r="G5" s="11">
        <v>45.050000000000168</v>
      </c>
      <c r="H5" s="11" t="s">
        <v>122</v>
      </c>
    </row>
    <row r="6" spans="1:8" x14ac:dyDescent="0.25">
      <c r="A6" s="25">
        <v>1</v>
      </c>
      <c r="B6" s="33" t="s">
        <v>60</v>
      </c>
      <c r="C6" s="22">
        <v>42789</v>
      </c>
      <c r="D6" s="76">
        <v>0.71581018518518524</v>
      </c>
      <c r="E6" s="3"/>
      <c r="F6" s="76">
        <v>0.79234953703703714</v>
      </c>
      <c r="G6" s="11">
        <v>110.21666666666674</v>
      </c>
      <c r="H6" s="11" t="s">
        <v>123</v>
      </c>
    </row>
    <row r="7" spans="1:8" x14ac:dyDescent="0.25">
      <c r="A7" s="25">
        <v>1</v>
      </c>
      <c r="B7" s="33" t="s">
        <v>60</v>
      </c>
      <c r="C7" s="22">
        <v>42796</v>
      </c>
      <c r="D7" s="78">
        <v>0.71590277777777789</v>
      </c>
      <c r="E7" s="3"/>
      <c r="F7" s="78">
        <v>0.79181712962962969</v>
      </c>
      <c r="G7" s="11">
        <v>109.31666666666659</v>
      </c>
      <c r="H7" s="11" t="s">
        <v>124</v>
      </c>
    </row>
    <row r="8" spans="1:8" x14ac:dyDescent="0.25">
      <c r="A8" s="25">
        <v>1</v>
      </c>
      <c r="B8" s="33" t="s">
        <v>60</v>
      </c>
      <c r="C8" s="22">
        <v>42801</v>
      </c>
      <c r="D8" s="79">
        <v>0.71195601851851853</v>
      </c>
      <c r="E8" s="3"/>
      <c r="F8" s="79">
        <v>0.79195601851851849</v>
      </c>
      <c r="G8" s="11">
        <v>115.19999999999995</v>
      </c>
      <c r="H8" s="11" t="s">
        <v>125</v>
      </c>
    </row>
    <row r="9" spans="1:8" x14ac:dyDescent="0.25">
      <c r="C9" s="70"/>
      <c r="D9" s="69"/>
      <c r="E9" s="3"/>
      <c r="F9" s="69"/>
      <c r="H9" s="11"/>
    </row>
    <row r="10" spans="1:8" x14ac:dyDescent="0.25">
      <c r="C10" s="36"/>
      <c r="D10" s="71"/>
      <c r="G10" s="31"/>
      <c r="H10" s="11"/>
    </row>
    <row r="11" spans="1:8" x14ac:dyDescent="0.25">
      <c r="H11" s="11"/>
    </row>
    <row r="15" spans="1:8" x14ac:dyDescent="0.25">
      <c r="H15" s="11"/>
    </row>
    <row r="16" spans="1:8" x14ac:dyDescent="0.25">
      <c r="H16" s="11"/>
    </row>
    <row r="17" spans="1:8" x14ac:dyDescent="0.25">
      <c r="A17" s="25"/>
      <c r="B17" s="33"/>
      <c r="C17" s="22"/>
      <c r="D17" s="34"/>
      <c r="E17" s="3"/>
      <c r="F17" s="35"/>
      <c r="H17" s="11"/>
    </row>
    <row r="18" spans="1:8" x14ac:dyDescent="0.25">
      <c r="A18" s="25"/>
      <c r="B18" s="33"/>
      <c r="C18" s="22"/>
      <c r="D18" s="34"/>
      <c r="E18" s="3"/>
      <c r="F18" s="38"/>
      <c r="H18" s="11"/>
    </row>
    <row r="19" spans="1:8" x14ac:dyDescent="0.25">
      <c r="A19" s="25"/>
      <c r="B19" s="33"/>
      <c r="C19" s="22"/>
      <c r="D19" s="34"/>
      <c r="E19" s="3"/>
      <c r="F19" s="35"/>
      <c r="H19" s="11"/>
    </row>
    <row r="20" spans="1:8" x14ac:dyDescent="0.25">
      <c r="A20" s="25"/>
      <c r="B20" s="33"/>
      <c r="C20" s="22"/>
      <c r="D20" s="34"/>
      <c r="E20" s="3"/>
      <c r="F20" s="35"/>
    </row>
    <row r="21" spans="1:8" x14ac:dyDescent="0.25">
      <c r="A21" s="25"/>
      <c r="B21" s="33"/>
      <c r="C21" s="22"/>
      <c r="D21" s="34"/>
      <c r="E21" s="3"/>
      <c r="F21" s="35"/>
      <c r="H21" s="11"/>
    </row>
    <row r="22" spans="1:8" x14ac:dyDescent="0.25">
      <c r="A22" s="26"/>
      <c r="B22" s="33"/>
      <c r="C22" s="22"/>
      <c r="D22" s="34"/>
      <c r="E22" s="3"/>
      <c r="F22" s="35"/>
      <c r="H22" s="11"/>
    </row>
    <row r="23" spans="1:8" x14ac:dyDescent="0.25">
      <c r="A23" s="26"/>
      <c r="B23" s="33"/>
      <c r="C23" s="22"/>
      <c r="D23" s="34"/>
      <c r="E23" s="3"/>
      <c r="F23" s="35"/>
    </row>
    <row r="24" spans="1:8" x14ac:dyDescent="0.25">
      <c r="A24" s="27"/>
      <c r="B24" s="33"/>
      <c r="C24" s="22"/>
      <c r="D24" s="34"/>
      <c r="E24" s="3"/>
      <c r="F24" s="35"/>
    </row>
    <row r="25" spans="1:8" x14ac:dyDescent="0.25">
      <c r="A25" s="27"/>
      <c r="B25" s="33"/>
      <c r="C25" s="22"/>
      <c r="D25" s="34"/>
      <c r="E25" s="3"/>
      <c r="F25" s="35"/>
      <c r="H25" s="11"/>
    </row>
    <row r="26" spans="1:8" x14ac:dyDescent="0.25">
      <c r="A26" s="26"/>
      <c r="B26" s="33"/>
      <c r="C26" s="22"/>
      <c r="D26" s="34"/>
      <c r="E26" s="3"/>
      <c r="F26" s="35"/>
      <c r="H26" s="11"/>
    </row>
    <row r="27" spans="1:8" x14ac:dyDescent="0.25">
      <c r="A27" s="26"/>
      <c r="B27" s="33"/>
      <c r="C27" s="22"/>
      <c r="D27" s="34"/>
      <c r="E27" s="3"/>
      <c r="F27" s="35"/>
    </row>
    <row r="28" spans="1:8" x14ac:dyDescent="0.25">
      <c r="A28" s="26"/>
      <c r="B28" s="33"/>
      <c r="C28" s="22"/>
      <c r="D28" s="34"/>
      <c r="E28" s="3"/>
      <c r="F28" s="35"/>
    </row>
    <row r="29" spans="1:8" x14ac:dyDescent="0.25">
      <c r="A29" s="26"/>
      <c r="B29" s="33"/>
      <c r="C29" s="22"/>
      <c r="D29" s="34"/>
      <c r="E29" s="3"/>
      <c r="F29" s="35"/>
    </row>
    <row r="30" spans="1:8" x14ac:dyDescent="0.25">
      <c r="A30" s="26"/>
      <c r="B30" s="33"/>
      <c r="C30" s="22"/>
      <c r="D30" s="34"/>
      <c r="E30" s="3"/>
      <c r="F30" s="35"/>
      <c r="H30" s="11"/>
    </row>
    <row r="31" spans="1:8" x14ac:dyDescent="0.25">
      <c r="A31" s="26"/>
      <c r="B31" s="33"/>
      <c r="C31" s="22"/>
      <c r="D31" s="34"/>
      <c r="E31" s="3"/>
      <c r="F31" s="35"/>
      <c r="H31" s="11"/>
    </row>
    <row r="32" spans="1:8" x14ac:dyDescent="0.25">
      <c r="A32" s="26"/>
      <c r="B32" s="33"/>
      <c r="C32" s="22"/>
      <c r="D32" s="34"/>
      <c r="E32" s="3"/>
      <c r="F32" s="35"/>
    </row>
    <row r="33" spans="1:8" x14ac:dyDescent="0.25">
      <c r="A33" s="26"/>
      <c r="B33" s="33"/>
      <c r="C33" s="22"/>
      <c r="D33" s="34"/>
      <c r="E33" s="3"/>
      <c r="F33" s="35"/>
      <c r="H33" s="11"/>
    </row>
    <row r="34" spans="1:8" x14ac:dyDescent="0.25">
      <c r="A34" s="26"/>
      <c r="B34" s="33"/>
      <c r="C34" s="22"/>
      <c r="D34" s="34"/>
      <c r="E34" s="3"/>
      <c r="F34" s="35"/>
      <c r="H34" s="11"/>
    </row>
    <row r="35" spans="1:8" x14ac:dyDescent="0.25">
      <c r="A35" s="26"/>
      <c r="B35" s="33"/>
      <c r="C35" s="22"/>
      <c r="D35" s="34"/>
      <c r="E35" s="3"/>
      <c r="F35" s="35"/>
    </row>
    <row r="36" spans="1:8" x14ac:dyDescent="0.25">
      <c r="A36" s="26"/>
      <c r="B36" s="33"/>
      <c r="C36" s="22"/>
      <c r="D36" s="34"/>
      <c r="E36" s="3"/>
      <c r="F36" s="35"/>
    </row>
    <row r="37" spans="1:8" x14ac:dyDescent="0.25">
      <c r="A37" s="26"/>
      <c r="B37" s="33"/>
      <c r="C37" s="22"/>
      <c r="D37" s="34"/>
      <c r="E37" s="3"/>
      <c r="F37" s="35"/>
      <c r="H37" s="11"/>
    </row>
    <row r="38" spans="1:8" x14ac:dyDescent="0.25">
      <c r="A38" s="26"/>
      <c r="B38" s="33"/>
      <c r="C38" s="22"/>
      <c r="D38" s="34"/>
      <c r="E38" s="3"/>
      <c r="F38" s="35"/>
      <c r="H38" s="11"/>
    </row>
    <row r="39" spans="1:8" x14ac:dyDescent="0.25">
      <c r="A39" s="26"/>
      <c r="B39" s="33"/>
      <c r="C39" s="22"/>
      <c r="D39" s="34"/>
      <c r="E39" s="3"/>
      <c r="F39" s="35"/>
    </row>
    <row r="40" spans="1:8" x14ac:dyDescent="0.25">
      <c r="A40" s="26"/>
      <c r="B40" s="33"/>
      <c r="C40" s="22"/>
      <c r="D40" s="34"/>
      <c r="E40" s="3"/>
      <c r="F40" s="35"/>
    </row>
    <row r="41" spans="1:8" x14ac:dyDescent="0.25">
      <c r="A41" s="26"/>
      <c r="B41" s="33"/>
      <c r="C41" s="22"/>
      <c r="D41" s="34"/>
      <c r="E41" s="3"/>
      <c r="F41" s="35"/>
      <c r="H41" s="11"/>
    </row>
    <row r="42" spans="1:8" x14ac:dyDescent="0.25">
      <c r="A42" s="26"/>
      <c r="B42" s="33"/>
      <c r="C42" s="22"/>
      <c r="D42" s="34"/>
      <c r="E42" s="3"/>
      <c r="F42" s="35"/>
      <c r="H42" s="11"/>
    </row>
    <row r="43" spans="1:8" x14ac:dyDescent="0.25">
      <c r="A43" s="26"/>
      <c r="B43" s="33"/>
      <c r="C43" s="22"/>
      <c r="D43" s="34"/>
      <c r="E43" s="3"/>
      <c r="F43" s="35"/>
    </row>
    <row r="44" spans="1:8" x14ac:dyDescent="0.25">
      <c r="A44" s="27"/>
      <c r="B44" s="33"/>
      <c r="C44" s="22"/>
      <c r="D44" s="34"/>
      <c r="E44" s="3"/>
      <c r="F44" s="35"/>
    </row>
    <row r="45" spans="1:8" x14ac:dyDescent="0.25">
      <c r="A45" s="27"/>
      <c r="B45" s="33"/>
      <c r="C45" s="22"/>
      <c r="D45" s="34"/>
      <c r="E45" s="3"/>
      <c r="F45" s="35"/>
    </row>
    <row r="46" spans="1:8" x14ac:dyDescent="0.25">
      <c r="A46" s="27"/>
      <c r="B46" s="33"/>
      <c r="C46" s="22"/>
      <c r="D46" s="34"/>
      <c r="E46" s="3"/>
      <c r="F46" s="35"/>
    </row>
    <row r="47" spans="1:8" x14ac:dyDescent="0.25">
      <c r="A47" s="27"/>
      <c r="B47" s="33"/>
      <c r="C47" s="22"/>
      <c r="D47" s="34"/>
      <c r="E47" s="3"/>
      <c r="F47" s="35"/>
      <c r="H47" s="11"/>
    </row>
    <row r="48" spans="1:8" x14ac:dyDescent="0.25">
      <c r="C48" s="36"/>
      <c r="D48" s="35"/>
      <c r="F48" s="35"/>
      <c r="H48" s="11"/>
    </row>
    <row r="49" spans="3:8" x14ac:dyDescent="0.25">
      <c r="C49" s="36"/>
      <c r="D49" s="35"/>
      <c r="F49" s="35"/>
    </row>
    <row r="50" spans="3:8" x14ac:dyDescent="0.25">
      <c r="C50" s="36"/>
      <c r="D50" s="35"/>
      <c r="F50" s="35"/>
    </row>
    <row r="51" spans="3:8" x14ac:dyDescent="0.25">
      <c r="C51" s="36"/>
      <c r="D51" s="35"/>
      <c r="F51" s="35"/>
    </row>
    <row r="52" spans="3:8" x14ac:dyDescent="0.25">
      <c r="C52" s="36"/>
      <c r="D52" s="35"/>
      <c r="F52" s="35"/>
    </row>
    <row r="53" spans="3:8" x14ac:dyDescent="0.25">
      <c r="C53" s="36"/>
      <c r="D53" s="35"/>
      <c r="F53" s="35"/>
    </row>
    <row r="54" spans="3:8" x14ac:dyDescent="0.25">
      <c r="C54" s="36"/>
      <c r="D54" s="35"/>
      <c r="F54" s="35"/>
      <c r="H54" s="11"/>
    </row>
    <row r="55" spans="3:8" x14ac:dyDescent="0.25">
      <c r="C55" s="36"/>
      <c r="D55" s="35"/>
      <c r="F55" s="35"/>
    </row>
    <row r="56" spans="3:8" x14ac:dyDescent="0.25">
      <c r="C56" s="36"/>
      <c r="D56" s="35"/>
      <c r="F56" s="35"/>
    </row>
    <row r="57" spans="3:8" x14ac:dyDescent="0.25">
      <c r="C57" s="36"/>
      <c r="D57" s="35"/>
      <c r="F57" s="35"/>
    </row>
    <row r="58" spans="3:8" x14ac:dyDescent="0.25">
      <c r="C58" s="36"/>
      <c r="D58" s="35"/>
      <c r="F58" s="35"/>
    </row>
    <row r="59" spans="3:8" x14ac:dyDescent="0.25">
      <c r="C59" s="36"/>
      <c r="D59" s="35"/>
      <c r="F59" s="35"/>
      <c r="H59" s="11"/>
    </row>
    <row r="60" spans="3:8" x14ac:dyDescent="0.25">
      <c r="C60" s="36"/>
      <c r="D60" s="35"/>
      <c r="F60" s="35"/>
    </row>
    <row r="61" spans="3:8" x14ac:dyDescent="0.25">
      <c r="C61" s="36"/>
      <c r="D61" s="35"/>
      <c r="F61" s="35"/>
      <c r="H61" s="11"/>
    </row>
    <row r="62" spans="3:8" x14ac:dyDescent="0.25">
      <c r="C62" s="36"/>
      <c r="D62" s="35"/>
      <c r="F62" s="35"/>
    </row>
    <row r="63" spans="3:8" x14ac:dyDescent="0.25">
      <c r="C63" s="36"/>
      <c r="D63" s="35"/>
      <c r="F63" s="35"/>
      <c r="H63" s="11"/>
    </row>
    <row r="64" spans="3:8" x14ac:dyDescent="0.25">
      <c r="C64" s="36"/>
      <c r="D64" s="35"/>
      <c r="F64" s="35"/>
    </row>
    <row r="65" spans="3:8" x14ac:dyDescent="0.25">
      <c r="C65" s="36"/>
      <c r="D65" s="35"/>
      <c r="F65" s="35"/>
    </row>
    <row r="66" spans="3:8" x14ac:dyDescent="0.25">
      <c r="C66" s="36"/>
      <c r="D66" s="35"/>
      <c r="F66" s="35"/>
    </row>
    <row r="67" spans="3:8" x14ac:dyDescent="0.25">
      <c r="C67" s="36"/>
      <c r="D67" s="35"/>
      <c r="F67" s="35"/>
    </row>
    <row r="68" spans="3:8" x14ac:dyDescent="0.25">
      <c r="C68" s="36"/>
      <c r="D68" s="35"/>
      <c r="F68" s="35"/>
      <c r="H68" s="11"/>
    </row>
    <row r="69" spans="3:8" x14ac:dyDescent="0.25">
      <c r="C69" s="36"/>
      <c r="D69" s="35"/>
      <c r="F69" s="35"/>
      <c r="H69" s="11"/>
    </row>
    <row r="70" spans="3:8" x14ac:dyDescent="0.25">
      <c r="C70" s="36"/>
      <c r="D70" s="35"/>
      <c r="F70" s="35"/>
      <c r="H70" s="11"/>
    </row>
    <row r="71" spans="3:8" x14ac:dyDescent="0.25">
      <c r="C71" s="36"/>
      <c r="D71" s="35"/>
      <c r="F71" s="35"/>
    </row>
    <row r="72" spans="3:8" x14ac:dyDescent="0.25">
      <c r="C72" s="36"/>
      <c r="D72" s="35"/>
      <c r="F72" s="35"/>
    </row>
    <row r="73" spans="3:8" x14ac:dyDescent="0.25">
      <c r="C73" s="36"/>
      <c r="D73" s="35"/>
      <c r="F73" s="35"/>
    </row>
    <row r="74" spans="3:8" x14ac:dyDescent="0.25">
      <c r="C74" s="36"/>
      <c r="D74" s="35"/>
      <c r="F74" s="35"/>
    </row>
    <row r="75" spans="3:8" x14ac:dyDescent="0.25">
      <c r="C75" s="36"/>
      <c r="D75" s="35"/>
      <c r="F75" s="35"/>
      <c r="H75" s="11"/>
    </row>
    <row r="76" spans="3:8" x14ac:dyDescent="0.25">
      <c r="C76" s="36"/>
      <c r="D76" s="35"/>
      <c r="F76" s="35"/>
      <c r="H76" s="11"/>
    </row>
    <row r="77" spans="3:8" x14ac:dyDescent="0.25">
      <c r="C77" s="36"/>
      <c r="D77" s="35"/>
      <c r="F77" s="35"/>
    </row>
    <row r="78" spans="3:8" x14ac:dyDescent="0.25">
      <c r="C78" s="36"/>
      <c r="D78" s="35"/>
      <c r="F78" s="35"/>
    </row>
    <row r="79" spans="3:8" x14ac:dyDescent="0.25">
      <c r="C79" s="36"/>
      <c r="D79" s="35"/>
      <c r="F79" s="35"/>
      <c r="H79" s="11"/>
    </row>
    <row r="80" spans="3:8" x14ac:dyDescent="0.25">
      <c r="C80" s="36"/>
      <c r="D80" s="35"/>
      <c r="F80" s="35"/>
    </row>
    <row r="81" spans="3:8" x14ac:dyDescent="0.25">
      <c r="C81" s="36"/>
      <c r="D81" s="35"/>
      <c r="F81" s="35"/>
    </row>
    <row r="82" spans="3:8" x14ac:dyDescent="0.25">
      <c r="C82" s="36"/>
      <c r="D82" s="35"/>
      <c r="F82" s="35"/>
    </row>
    <row r="83" spans="3:8" x14ac:dyDescent="0.25">
      <c r="C83" s="36"/>
      <c r="D83" s="35"/>
      <c r="F83" s="35"/>
      <c r="H83" s="11"/>
    </row>
    <row r="84" spans="3:8" x14ac:dyDescent="0.25">
      <c r="C84" s="36"/>
      <c r="D84" s="35"/>
      <c r="F84" s="35"/>
    </row>
    <row r="85" spans="3:8" x14ac:dyDescent="0.25">
      <c r="C85" s="36"/>
      <c r="D85" s="35"/>
      <c r="F85" s="35"/>
      <c r="H85" s="11"/>
    </row>
    <row r="86" spans="3:8" x14ac:dyDescent="0.25">
      <c r="C86" s="36"/>
      <c r="D86" s="35"/>
      <c r="F86" s="35"/>
    </row>
    <row r="87" spans="3:8" x14ac:dyDescent="0.25">
      <c r="C87" s="36"/>
      <c r="D87" s="35"/>
      <c r="F87" s="35"/>
    </row>
    <row r="88" spans="3:8" x14ac:dyDescent="0.25">
      <c r="C88" s="36"/>
      <c r="D88" s="35"/>
      <c r="F88" s="35"/>
    </row>
    <row r="89" spans="3:8" x14ac:dyDescent="0.25">
      <c r="C89" s="36"/>
      <c r="D89" s="35"/>
      <c r="F89" s="35"/>
      <c r="H89" s="11"/>
    </row>
    <row r="90" spans="3:8" x14ac:dyDescent="0.25">
      <c r="C90" s="36"/>
      <c r="D90" s="35"/>
      <c r="F90" s="35"/>
      <c r="H90" s="11"/>
    </row>
    <row r="91" spans="3:8" x14ac:dyDescent="0.25">
      <c r="C91" s="36"/>
      <c r="D91" s="35"/>
      <c r="F91" s="35"/>
      <c r="H91" s="11"/>
    </row>
    <row r="92" spans="3:8" x14ac:dyDescent="0.25">
      <c r="C92" s="36"/>
      <c r="D92" s="35"/>
      <c r="F92" s="35"/>
    </row>
    <row r="93" spans="3:8" x14ac:dyDescent="0.25">
      <c r="C93" s="36"/>
      <c r="D93" s="35"/>
      <c r="F93" s="35"/>
    </row>
    <row r="94" spans="3:8" x14ac:dyDescent="0.25">
      <c r="C94" s="36"/>
      <c r="D94" s="35"/>
      <c r="F94" s="35"/>
    </row>
    <row r="95" spans="3:8" x14ac:dyDescent="0.25">
      <c r="C95" s="36"/>
      <c r="D95" s="35"/>
      <c r="F95" s="35"/>
    </row>
    <row r="96" spans="3:8" x14ac:dyDescent="0.25">
      <c r="C96" s="36"/>
      <c r="D96" s="35"/>
      <c r="F96" s="35"/>
    </row>
    <row r="97" spans="3:8" x14ac:dyDescent="0.25">
      <c r="C97" s="36"/>
      <c r="D97" s="35"/>
      <c r="F97" s="35"/>
    </row>
    <row r="98" spans="3:8" x14ac:dyDescent="0.25">
      <c r="C98" s="36"/>
      <c r="D98" s="35"/>
      <c r="F98" s="35"/>
      <c r="H98" s="11"/>
    </row>
    <row r="99" spans="3:8" x14ac:dyDescent="0.25">
      <c r="C99" s="36"/>
      <c r="D99" s="35"/>
      <c r="F99" s="35"/>
    </row>
    <row r="100" spans="3:8" x14ac:dyDescent="0.25">
      <c r="C100" s="36"/>
      <c r="D100" s="35"/>
      <c r="F100" s="35"/>
      <c r="H100" s="11"/>
    </row>
    <row r="101" spans="3:8" x14ac:dyDescent="0.25">
      <c r="C101" s="36"/>
      <c r="D101" s="35"/>
      <c r="F101" s="35"/>
      <c r="H101" s="11"/>
    </row>
    <row r="102" spans="3:8" x14ac:dyDescent="0.25">
      <c r="C102" s="36"/>
      <c r="D102" s="35"/>
      <c r="F102" s="35"/>
      <c r="H102" s="11"/>
    </row>
    <row r="103" spans="3:8" x14ac:dyDescent="0.25">
      <c r="C103" s="36"/>
      <c r="D103" s="35"/>
      <c r="F103" s="35"/>
      <c r="H103" s="11"/>
    </row>
    <row r="104" spans="3:8" x14ac:dyDescent="0.25">
      <c r="C104" s="36"/>
      <c r="D104" s="35"/>
      <c r="F104" s="35"/>
      <c r="H104" s="11"/>
    </row>
    <row r="105" spans="3:8" x14ac:dyDescent="0.25">
      <c r="C105" s="36"/>
      <c r="D105" s="35"/>
      <c r="F105" s="35"/>
      <c r="H105" s="11"/>
    </row>
    <row r="106" spans="3:8" x14ac:dyDescent="0.25">
      <c r="C106" s="36"/>
      <c r="D106" s="35"/>
      <c r="F106" s="35"/>
    </row>
    <row r="107" spans="3:8" x14ac:dyDescent="0.25">
      <c r="C107" s="36"/>
      <c r="D107" s="35"/>
      <c r="F107" s="35"/>
    </row>
    <row r="108" spans="3:8" x14ac:dyDescent="0.25">
      <c r="C108" s="36"/>
      <c r="D108" s="35"/>
      <c r="F108" s="35"/>
    </row>
    <row r="109" spans="3:8" x14ac:dyDescent="0.25">
      <c r="C109" s="36"/>
      <c r="D109" s="35"/>
      <c r="F109" s="35"/>
    </row>
    <row r="110" spans="3:8" x14ac:dyDescent="0.25">
      <c r="C110" s="36"/>
      <c r="D110" s="35"/>
      <c r="F110" s="35"/>
    </row>
    <row r="111" spans="3:8" x14ac:dyDescent="0.25">
      <c r="C111" s="36"/>
      <c r="D111" s="35"/>
      <c r="F111" s="35"/>
    </row>
    <row r="112" spans="3:8" x14ac:dyDescent="0.25">
      <c r="C112" s="36"/>
      <c r="D112" s="35"/>
      <c r="F112" s="35"/>
      <c r="H112" s="11"/>
    </row>
    <row r="113" spans="3:8" x14ac:dyDescent="0.25">
      <c r="C113" s="36"/>
      <c r="D113" s="35"/>
      <c r="F113" s="35"/>
    </row>
    <row r="114" spans="3:8" x14ac:dyDescent="0.25">
      <c r="C114" s="36"/>
      <c r="D114" s="35"/>
      <c r="F114" s="35"/>
    </row>
    <row r="115" spans="3:8" x14ac:dyDescent="0.25">
      <c r="C115" s="36"/>
      <c r="D115" s="35"/>
      <c r="F115" s="35"/>
    </row>
    <row r="116" spans="3:8" x14ac:dyDescent="0.25">
      <c r="C116" s="36"/>
      <c r="D116" s="35"/>
      <c r="F116" s="35"/>
    </row>
    <row r="117" spans="3:8" x14ac:dyDescent="0.25">
      <c r="C117" s="36"/>
      <c r="D117" s="35"/>
      <c r="F117" s="35"/>
    </row>
    <row r="118" spans="3:8" x14ac:dyDescent="0.25">
      <c r="C118" s="36"/>
      <c r="D118" s="35"/>
      <c r="F118" s="35"/>
    </row>
    <row r="119" spans="3:8" x14ac:dyDescent="0.25">
      <c r="C119" s="36"/>
      <c r="D119" s="35"/>
      <c r="F119" s="35"/>
    </row>
    <row r="120" spans="3:8" x14ac:dyDescent="0.25">
      <c r="C120" s="36"/>
      <c r="D120" s="35"/>
      <c r="F120" s="35"/>
    </row>
    <row r="121" spans="3:8" x14ac:dyDescent="0.25">
      <c r="C121" s="36"/>
      <c r="D121" s="35"/>
      <c r="F121" s="35"/>
    </row>
    <row r="122" spans="3:8" x14ac:dyDescent="0.25">
      <c r="C122" s="36"/>
      <c r="D122" s="35"/>
      <c r="F122" s="35"/>
      <c r="H122" s="11"/>
    </row>
    <row r="123" spans="3:8" x14ac:dyDescent="0.25">
      <c r="C123" s="36"/>
      <c r="D123" s="35"/>
      <c r="F123" s="35"/>
      <c r="H123" s="11"/>
    </row>
    <row r="124" spans="3:8" x14ac:dyDescent="0.25">
      <c r="C124" s="36"/>
      <c r="D124" s="35"/>
      <c r="F124" s="35"/>
      <c r="H124" s="11"/>
    </row>
    <row r="125" spans="3:8" x14ac:dyDescent="0.25">
      <c r="C125" s="36"/>
      <c r="D125" s="35"/>
      <c r="F125" s="35"/>
    </row>
    <row r="126" spans="3:8" x14ac:dyDescent="0.25">
      <c r="C126" s="36"/>
      <c r="D126" s="35"/>
      <c r="F126" s="35"/>
    </row>
    <row r="127" spans="3:8" x14ac:dyDescent="0.25">
      <c r="C127" s="36"/>
      <c r="D127" s="35"/>
      <c r="F127" s="35"/>
    </row>
    <row r="128" spans="3:8" x14ac:dyDescent="0.25">
      <c r="C128" s="36"/>
      <c r="D128" s="35"/>
      <c r="F128" s="35"/>
    </row>
    <row r="129" spans="1:8" x14ac:dyDescent="0.25">
      <c r="C129" s="36"/>
      <c r="D129" s="35"/>
      <c r="F129" s="35"/>
      <c r="H129" s="11"/>
    </row>
    <row r="130" spans="1:8" x14ac:dyDescent="0.25">
      <c r="C130" s="36"/>
      <c r="D130" s="35"/>
      <c r="F130" s="35"/>
      <c r="H130" s="11"/>
    </row>
    <row r="131" spans="1:8" x14ac:dyDescent="0.25">
      <c r="C131" s="36"/>
      <c r="D131" s="35"/>
      <c r="F131" s="35"/>
      <c r="H131" s="11"/>
    </row>
    <row r="132" spans="1:8" x14ac:dyDescent="0.25">
      <c r="C132" s="36"/>
      <c r="D132" s="35"/>
      <c r="F132" s="35"/>
      <c r="H132" s="11"/>
    </row>
    <row r="133" spans="1:8" x14ac:dyDescent="0.25">
      <c r="C133" s="36"/>
      <c r="D133" s="35"/>
      <c r="F133" s="35"/>
    </row>
    <row r="134" spans="1:8" x14ac:dyDescent="0.25">
      <c r="C134" s="36"/>
      <c r="D134" s="35"/>
      <c r="F134" s="35"/>
    </row>
    <row r="135" spans="1:8" x14ac:dyDescent="0.25">
      <c r="C135" s="36"/>
      <c r="D135" s="35"/>
      <c r="F135" s="35"/>
    </row>
    <row r="136" spans="1:8" x14ac:dyDescent="0.25">
      <c r="C136" s="36"/>
      <c r="D136" s="35"/>
      <c r="F136" s="35"/>
    </row>
    <row r="137" spans="1:8" x14ac:dyDescent="0.25">
      <c r="C137" s="36"/>
      <c r="D137" s="35"/>
      <c r="F137" s="35"/>
    </row>
    <row r="138" spans="1:8" x14ac:dyDescent="0.25">
      <c r="C138" s="36"/>
      <c r="D138" s="35"/>
      <c r="F138" s="35"/>
      <c r="H138" s="11"/>
    </row>
    <row r="139" spans="1:8" x14ac:dyDescent="0.25">
      <c r="A139" s="26"/>
      <c r="B139" s="33"/>
      <c r="C139" s="36"/>
      <c r="D139" s="35"/>
      <c r="F139" s="35"/>
    </row>
    <row r="140" spans="1:8" x14ac:dyDescent="0.25">
      <c r="A140" s="26"/>
      <c r="B140" s="33"/>
      <c r="C140" s="36"/>
      <c r="D140" s="35"/>
      <c r="F140" s="35"/>
      <c r="H140" s="11"/>
    </row>
    <row r="141" spans="1:8" x14ac:dyDescent="0.25">
      <c r="A141" s="26"/>
      <c r="B141" s="33"/>
      <c r="C141" s="36"/>
      <c r="D141" s="35"/>
      <c r="F141" s="35"/>
    </row>
    <row r="142" spans="1:8" x14ac:dyDescent="0.25">
      <c r="C142" s="36"/>
      <c r="D142" s="35"/>
      <c r="F142" s="35"/>
    </row>
    <row r="143" spans="1:8" x14ac:dyDescent="0.25">
      <c r="C143" s="36"/>
      <c r="D143" s="35"/>
      <c r="F143" s="35"/>
    </row>
    <row r="144" spans="1:8" x14ac:dyDescent="0.25">
      <c r="A144" s="26"/>
      <c r="B144" s="33"/>
      <c r="C144" s="36"/>
      <c r="D144" s="35"/>
      <c r="F144" s="35"/>
      <c r="H144" s="11"/>
    </row>
    <row r="145" spans="1:8" x14ac:dyDescent="0.25">
      <c r="A145" s="27"/>
      <c r="B145" s="33"/>
      <c r="C145" s="36"/>
      <c r="D145" s="35"/>
      <c r="F145" s="35"/>
    </row>
    <row r="146" spans="1:8" x14ac:dyDescent="0.25">
      <c r="A146" s="27"/>
      <c r="B146" s="33"/>
      <c r="C146" s="36"/>
      <c r="D146" s="35"/>
      <c r="F146" s="35"/>
      <c r="H146" s="11"/>
    </row>
    <row r="147" spans="1:8" x14ac:dyDescent="0.25">
      <c r="A147" s="26"/>
      <c r="B147" s="33"/>
      <c r="C147" s="36"/>
      <c r="D147" s="35"/>
      <c r="F147" s="35"/>
      <c r="H147" s="11"/>
    </row>
    <row r="148" spans="1:8" x14ac:dyDescent="0.25">
      <c r="A148" s="26"/>
      <c r="B148" s="33"/>
      <c r="C148" s="36"/>
      <c r="D148" s="35"/>
      <c r="F148" s="35"/>
      <c r="H148" s="11"/>
    </row>
    <row r="149" spans="1:8" x14ac:dyDescent="0.25">
      <c r="A149" s="26"/>
      <c r="B149" s="33"/>
      <c r="C149" s="36"/>
      <c r="D149" s="35"/>
      <c r="F149" s="35"/>
      <c r="H149" s="11"/>
    </row>
    <row r="150" spans="1:8" x14ac:dyDescent="0.25">
      <c r="A150" s="26"/>
      <c r="B150" s="33"/>
      <c r="C150" s="36"/>
      <c r="D150" s="35"/>
      <c r="F150" s="35"/>
    </row>
    <row r="151" spans="1:8" x14ac:dyDescent="0.25">
      <c r="A151" s="26"/>
      <c r="B151" s="33"/>
      <c r="C151" s="36"/>
      <c r="D151" s="35"/>
      <c r="F151" s="35"/>
      <c r="H151" s="37"/>
    </row>
    <row r="152" spans="1:8" x14ac:dyDescent="0.25">
      <c r="A152" s="26"/>
      <c r="B152" s="33"/>
      <c r="C152" s="36"/>
      <c r="D152" s="35"/>
      <c r="F152" s="35"/>
    </row>
    <row r="153" spans="1:8" x14ac:dyDescent="0.25">
      <c r="A153" s="26"/>
      <c r="B153" s="33"/>
      <c r="C153" s="36"/>
      <c r="D153" s="35"/>
      <c r="F153" s="35"/>
    </row>
    <row r="154" spans="1:8" x14ac:dyDescent="0.25">
      <c r="A154" s="26"/>
      <c r="B154" s="33"/>
      <c r="C154" s="36"/>
      <c r="D154" s="35"/>
      <c r="F154" s="35"/>
    </row>
    <row r="155" spans="1:8" x14ac:dyDescent="0.25">
      <c r="A155" s="26"/>
      <c r="B155" s="33"/>
      <c r="C155" s="36"/>
      <c r="D155" s="35"/>
      <c r="F155" s="35"/>
      <c r="H155" s="11"/>
    </row>
    <row r="156" spans="1:8" x14ac:dyDescent="0.25">
      <c r="A156" s="26"/>
      <c r="B156" s="33"/>
      <c r="C156" s="36"/>
      <c r="D156" s="35"/>
      <c r="F156" s="35"/>
    </row>
    <row r="157" spans="1:8" x14ac:dyDescent="0.25">
      <c r="A157" s="26"/>
      <c r="B157" s="33"/>
      <c r="C157" s="36"/>
      <c r="D157" s="35"/>
      <c r="F157" s="35"/>
      <c r="H157" s="11"/>
    </row>
    <row r="158" spans="1:8" x14ac:dyDescent="0.25">
      <c r="A158" s="26"/>
      <c r="B158" s="33"/>
      <c r="C158" s="36"/>
      <c r="D158" s="35"/>
      <c r="F158" s="35"/>
      <c r="H158" s="11"/>
    </row>
    <row r="159" spans="1:8" x14ac:dyDescent="0.25">
      <c r="A159" s="26"/>
      <c r="B159" s="33"/>
      <c r="C159" s="36"/>
      <c r="D159" s="38"/>
      <c r="F159" s="38"/>
    </row>
    <row r="160" spans="1:8" x14ac:dyDescent="0.25">
      <c r="A160" s="26"/>
      <c r="B160" s="33"/>
      <c r="C160" s="36"/>
      <c r="D160" s="38"/>
      <c r="F160" s="38"/>
      <c r="H160" s="11"/>
    </row>
    <row r="161" spans="1:8" x14ac:dyDescent="0.25">
      <c r="A161" s="26"/>
      <c r="B161" s="33"/>
      <c r="C161" s="36"/>
      <c r="D161" s="38"/>
      <c r="F161" s="38"/>
    </row>
    <row r="162" spans="1:8" x14ac:dyDescent="0.25">
      <c r="A162" s="26"/>
      <c r="B162" s="33"/>
      <c r="C162" s="36"/>
      <c r="D162" s="38"/>
      <c r="F162" s="38"/>
    </row>
    <row r="163" spans="1:8" x14ac:dyDescent="0.25">
      <c r="A163" s="26"/>
      <c r="B163" s="33"/>
      <c r="C163" s="36"/>
      <c r="D163" s="38"/>
      <c r="F163" s="38"/>
      <c r="H163" s="11"/>
    </row>
    <row r="164" spans="1:8" x14ac:dyDescent="0.25">
      <c r="A164" s="27"/>
      <c r="B164" s="33"/>
      <c r="C164" s="36"/>
      <c r="D164" s="38"/>
      <c r="F164" s="38"/>
      <c r="H164" s="11"/>
    </row>
    <row r="165" spans="1:8" x14ac:dyDescent="0.25">
      <c r="A165" s="27"/>
      <c r="B165" s="33"/>
      <c r="C165" s="36"/>
      <c r="D165" s="38"/>
      <c r="F165" s="38"/>
      <c r="H165" s="11"/>
    </row>
    <row r="166" spans="1:8" x14ac:dyDescent="0.25">
      <c r="A166" s="27"/>
      <c r="B166" s="33"/>
      <c r="C166" s="36"/>
      <c r="D166" s="38"/>
      <c r="F166" s="38"/>
    </row>
    <row r="167" spans="1:8" x14ac:dyDescent="0.25">
      <c r="A167" s="27"/>
      <c r="B167" s="33"/>
      <c r="C167" s="36"/>
      <c r="D167" s="38"/>
      <c r="F167" s="38"/>
    </row>
    <row r="168" spans="1:8" x14ac:dyDescent="0.25">
      <c r="A168" s="27"/>
      <c r="B168" s="33"/>
      <c r="C168" s="36"/>
      <c r="D168" s="39"/>
      <c r="F168" s="39"/>
    </row>
    <row r="169" spans="1:8" x14ac:dyDescent="0.25">
      <c r="A169" s="27"/>
      <c r="B169" s="33"/>
      <c r="C169" s="36"/>
      <c r="D169" s="39"/>
      <c r="F169" s="39"/>
    </row>
    <row r="170" spans="1:8" x14ac:dyDescent="0.25">
      <c r="A170" s="27"/>
      <c r="B170" s="33"/>
    </row>
    <row r="171" spans="1:8" x14ac:dyDescent="0.25">
      <c r="A171" s="27"/>
      <c r="B171" s="33"/>
    </row>
    <row r="172" spans="1:8" x14ac:dyDescent="0.25">
      <c r="A172" s="27"/>
      <c r="B172" s="33"/>
    </row>
    <row r="173" spans="1:8" x14ac:dyDescent="0.25">
      <c r="A173" s="27"/>
      <c r="B173" s="33"/>
      <c r="H173" s="11"/>
    </row>
    <row r="174" spans="1:8" x14ac:dyDescent="0.25">
      <c r="A174" s="27"/>
      <c r="B174" s="33"/>
    </row>
    <row r="175" spans="1:8" x14ac:dyDescent="0.25">
      <c r="A175" s="27"/>
      <c r="B175" s="33"/>
      <c r="H175" s="11"/>
    </row>
    <row r="176" spans="1:8" x14ac:dyDescent="0.25">
      <c r="A176" s="26"/>
      <c r="B176" s="33"/>
      <c r="H176" s="11"/>
    </row>
    <row r="177" spans="1:8" x14ac:dyDescent="0.25">
      <c r="A177" s="26"/>
      <c r="B177" s="33"/>
    </row>
    <row r="178" spans="1:8" x14ac:dyDescent="0.25">
      <c r="A178" s="26"/>
      <c r="B178" s="33"/>
      <c r="H178" s="11"/>
    </row>
    <row r="179" spans="1:8" x14ac:dyDescent="0.25">
      <c r="A179" s="26"/>
      <c r="B179" s="33"/>
      <c r="H179" s="11"/>
    </row>
    <row r="180" spans="1:8" x14ac:dyDescent="0.25">
      <c r="A180" s="26"/>
      <c r="B180" s="33"/>
    </row>
    <row r="181" spans="1:8" x14ac:dyDescent="0.25">
      <c r="A181" s="26"/>
      <c r="B181" s="33"/>
      <c r="H181" s="11"/>
    </row>
    <row r="182" spans="1:8" x14ac:dyDescent="0.25">
      <c r="A182" s="26"/>
      <c r="B182" s="33"/>
      <c r="H182" s="11"/>
    </row>
    <row r="183" spans="1:8" x14ac:dyDescent="0.25">
      <c r="A183" s="26"/>
      <c r="B183" s="33"/>
    </row>
    <row r="184" spans="1:8" x14ac:dyDescent="0.25">
      <c r="A184" s="27"/>
      <c r="B184" s="33"/>
      <c r="H184" s="11"/>
    </row>
    <row r="185" spans="1:8" x14ac:dyDescent="0.25">
      <c r="A185" s="27"/>
      <c r="B185" s="33"/>
    </row>
    <row r="186" spans="1:8" x14ac:dyDescent="0.25">
      <c r="A186" s="26"/>
      <c r="B186" s="33"/>
      <c r="H186" s="11"/>
    </row>
    <row r="187" spans="1:8" x14ac:dyDescent="0.25">
      <c r="A187" s="26"/>
      <c r="B187" s="33"/>
    </row>
    <row r="188" spans="1:8" x14ac:dyDescent="0.25">
      <c r="A188" s="26"/>
      <c r="B188" s="33"/>
      <c r="H188" s="11"/>
    </row>
    <row r="189" spans="1:8" x14ac:dyDescent="0.25">
      <c r="A189" s="26"/>
      <c r="B189" s="33"/>
      <c r="H189" s="11"/>
    </row>
    <row r="190" spans="1:8" x14ac:dyDescent="0.25">
      <c r="A190" s="26"/>
      <c r="B190" s="33"/>
      <c r="H190" s="11"/>
    </row>
    <row r="191" spans="1:8" x14ac:dyDescent="0.25">
      <c r="A191" s="26"/>
      <c r="B191" s="33"/>
    </row>
    <row r="192" spans="1:8" x14ac:dyDescent="0.25">
      <c r="A192" s="26"/>
      <c r="B192" s="33"/>
      <c r="H192" s="11"/>
    </row>
    <row r="193" spans="1:8" x14ac:dyDescent="0.25">
      <c r="A193" s="26"/>
      <c r="B193" s="33"/>
    </row>
    <row r="194" spans="1:8" x14ac:dyDescent="0.25">
      <c r="A194" s="26"/>
      <c r="B194" s="33"/>
    </row>
    <row r="195" spans="1:8" x14ac:dyDescent="0.25">
      <c r="A195" s="26"/>
      <c r="B195" s="33"/>
      <c r="H195" s="11"/>
    </row>
    <row r="196" spans="1:8" x14ac:dyDescent="0.25">
      <c r="A196" s="26"/>
      <c r="B196" s="33"/>
      <c r="H196" s="11"/>
    </row>
    <row r="197" spans="1:8" x14ac:dyDescent="0.25">
      <c r="A197" s="26"/>
      <c r="B197" s="33"/>
      <c r="H197" s="11"/>
    </row>
    <row r="198" spans="1:8" x14ac:dyDescent="0.25">
      <c r="A198" s="27"/>
      <c r="B198" s="33"/>
    </row>
    <row r="199" spans="1:8" x14ac:dyDescent="0.25">
      <c r="A199" s="27"/>
      <c r="B199" s="33"/>
    </row>
    <row r="200" spans="1:8" x14ac:dyDescent="0.25">
      <c r="A200" s="26"/>
      <c r="B200" s="33"/>
    </row>
    <row r="201" spans="1:8" x14ac:dyDescent="0.25">
      <c r="A201" s="26"/>
      <c r="B201" s="33"/>
    </row>
    <row r="202" spans="1:8" x14ac:dyDescent="0.25">
      <c r="A202" s="26"/>
      <c r="B202" s="33"/>
    </row>
    <row r="203" spans="1:8" x14ac:dyDescent="0.25">
      <c r="A203" s="26"/>
      <c r="B203" s="33"/>
    </row>
    <row r="204" spans="1:8" x14ac:dyDescent="0.25">
      <c r="A204" s="26"/>
      <c r="B204" s="33"/>
      <c r="H204" s="11"/>
    </row>
    <row r="205" spans="1:8" x14ac:dyDescent="0.25">
      <c r="A205" s="26"/>
      <c r="B205" s="33"/>
    </row>
    <row r="206" spans="1:8" x14ac:dyDescent="0.25">
      <c r="A206" s="27"/>
      <c r="B206" s="33"/>
      <c r="H206" s="11"/>
    </row>
    <row r="207" spans="1:8" x14ac:dyDescent="0.25">
      <c r="A207" s="27"/>
      <c r="B207" s="33"/>
    </row>
    <row r="208" spans="1:8" x14ac:dyDescent="0.25">
      <c r="A208" s="27"/>
      <c r="B208" s="33"/>
    </row>
    <row r="209" spans="1:8" x14ac:dyDescent="0.25">
      <c r="A209" s="27"/>
      <c r="B209" s="33"/>
    </row>
    <row r="210" spans="1:8" x14ac:dyDescent="0.25">
      <c r="A210" s="27"/>
      <c r="B210" s="33"/>
      <c r="H210" s="11"/>
    </row>
    <row r="211" spans="1:8" x14ac:dyDescent="0.25">
      <c r="A211" s="27"/>
      <c r="B211" s="33"/>
    </row>
    <row r="212" spans="1:8" x14ac:dyDescent="0.25">
      <c r="A212" s="27"/>
      <c r="B212" s="33"/>
      <c r="H212" s="11"/>
    </row>
    <row r="213" spans="1:8" x14ac:dyDescent="0.25">
      <c r="A213" s="27"/>
      <c r="B213" s="33"/>
    </row>
    <row r="214" spans="1:8" x14ac:dyDescent="0.25">
      <c r="A214" s="27"/>
      <c r="B214" s="33"/>
    </row>
    <row r="215" spans="1:8" x14ac:dyDescent="0.25">
      <c r="A215" s="27"/>
      <c r="B215" s="33"/>
    </row>
    <row r="216" spans="1:8" x14ac:dyDescent="0.25">
      <c r="A216" s="27"/>
      <c r="B216" s="33"/>
      <c r="H216" s="11"/>
    </row>
    <row r="217" spans="1:8" x14ac:dyDescent="0.25">
      <c r="A217" s="27"/>
      <c r="B217" s="33"/>
    </row>
    <row r="218" spans="1:8" x14ac:dyDescent="0.25">
      <c r="A218" s="27"/>
      <c r="B218" s="33"/>
    </row>
    <row r="219" spans="1:8" x14ac:dyDescent="0.25">
      <c r="A219" s="27"/>
      <c r="B219" s="33"/>
    </row>
    <row r="220" spans="1:8" x14ac:dyDescent="0.25">
      <c r="A220" s="27"/>
      <c r="B220" s="33"/>
    </row>
    <row r="221" spans="1:8" x14ac:dyDescent="0.25">
      <c r="A221" s="27"/>
      <c r="B221" s="33"/>
      <c r="H221" s="11"/>
    </row>
    <row r="222" spans="1:8" x14ac:dyDescent="0.25">
      <c r="A222" s="27"/>
      <c r="B222" s="33"/>
    </row>
    <row r="223" spans="1:8" x14ac:dyDescent="0.25">
      <c r="A223" s="27"/>
      <c r="B223" s="33"/>
      <c r="H223" s="11"/>
    </row>
    <row r="224" spans="1:8" x14ac:dyDescent="0.25">
      <c r="A224" s="27"/>
      <c r="B224" s="33"/>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E25"/>
  <sheetViews>
    <sheetView workbookViewId="0">
      <selection activeCell="G2" sqref="G2:G10"/>
    </sheetView>
  </sheetViews>
  <sheetFormatPr baseColWidth="10" defaultColWidth="9.1796875" defaultRowHeight="10" x14ac:dyDescent="0.2"/>
  <cols>
    <col min="1" max="1" width="5.453125" style="7" bestFit="1" customWidth="1"/>
    <col min="2" max="2" width="9.1796875" style="7"/>
    <col min="3" max="3" width="6.453125" style="7" customWidth="1"/>
    <col min="4" max="4" width="2.453125" style="7" customWidth="1"/>
    <col min="5" max="5" width="8.453125" style="7" bestFit="1" customWidth="1"/>
    <col min="6" max="6" width="2.453125" style="7" customWidth="1"/>
    <col min="7" max="7" width="7.1796875" style="7" bestFit="1" customWidth="1"/>
    <col min="8" max="8" width="2.453125" style="7" customWidth="1"/>
    <col min="9" max="9" width="7.1796875" style="7" bestFit="1" customWidth="1"/>
    <col min="10" max="10" width="2.453125" style="7" customWidth="1"/>
    <col min="11" max="11" width="7.1796875" style="7" bestFit="1" customWidth="1"/>
    <col min="12" max="12" width="2.453125" style="7" customWidth="1"/>
    <col min="13" max="13" width="7.1796875" style="7" bestFit="1" customWidth="1"/>
    <col min="14" max="14" width="2.453125" style="7" customWidth="1"/>
    <col min="15" max="15" width="7.1796875" style="7" bestFit="1" customWidth="1"/>
    <col min="16" max="16" width="2.453125" style="7" customWidth="1"/>
    <col min="17" max="17" width="7.1796875" style="7" bestFit="1" customWidth="1"/>
    <col min="18" max="18" width="2.453125" style="7" customWidth="1"/>
    <col min="19" max="19" width="7.1796875" style="7" bestFit="1" customWidth="1"/>
    <col min="20" max="20" width="2.453125" style="7" customWidth="1"/>
    <col min="21" max="21" width="7.1796875" style="7" bestFit="1" customWidth="1"/>
    <col min="22" max="22" width="2.453125" style="7" customWidth="1"/>
    <col min="23" max="23" width="4.453125" style="7" bestFit="1" customWidth="1"/>
    <col min="24" max="24" width="11.1796875" style="7" bestFit="1" customWidth="1"/>
    <col min="25" max="25" width="2.453125" style="7" customWidth="1"/>
    <col min="26" max="27" width="9.1796875" style="7"/>
    <col min="28" max="28" width="2.453125" style="7" customWidth="1"/>
    <col min="29" max="29" width="9.1796875" style="7"/>
    <col min="30" max="30" width="2.453125" style="7" customWidth="1"/>
    <col min="31" max="16384" width="9.1796875" style="7"/>
  </cols>
  <sheetData>
    <row r="1" spans="1:31" x14ac:dyDescent="0.2">
      <c r="A1" s="5" t="s">
        <v>0</v>
      </c>
      <c r="B1" s="5" t="s">
        <v>7</v>
      </c>
      <c r="C1" s="5" t="s">
        <v>28</v>
      </c>
      <c r="D1" s="14"/>
      <c r="E1" s="5" t="s">
        <v>38</v>
      </c>
      <c r="F1" s="14"/>
      <c r="G1" s="5" t="s">
        <v>19</v>
      </c>
      <c r="H1" s="14"/>
      <c r="I1" s="5" t="s">
        <v>29</v>
      </c>
      <c r="J1" s="14"/>
      <c r="K1" s="5" t="s">
        <v>33</v>
      </c>
      <c r="L1" s="14"/>
      <c r="M1" s="5" t="s">
        <v>34</v>
      </c>
      <c r="N1" s="14"/>
      <c r="O1" s="5" t="s">
        <v>35</v>
      </c>
      <c r="P1" s="14"/>
      <c r="Q1" s="5" t="s">
        <v>36</v>
      </c>
      <c r="R1" s="14"/>
      <c r="S1" s="5" t="s">
        <v>37</v>
      </c>
      <c r="T1" s="14"/>
      <c r="U1" s="5"/>
      <c r="V1" s="14"/>
      <c r="W1" s="15" t="s">
        <v>3</v>
      </c>
      <c r="X1" s="15" t="s">
        <v>2</v>
      </c>
      <c r="Z1" s="1" t="s">
        <v>40</v>
      </c>
      <c r="AA1" s="1" t="s">
        <v>40</v>
      </c>
      <c r="AC1" s="1" t="s">
        <v>41</v>
      </c>
      <c r="AE1" s="1" t="s">
        <v>49</v>
      </c>
    </row>
    <row r="2" spans="1:31" x14ac:dyDescent="0.2">
      <c r="A2" s="7">
        <v>1</v>
      </c>
      <c r="B2" s="7" t="s">
        <v>20</v>
      </c>
      <c r="C2" s="7" t="s">
        <v>29</v>
      </c>
      <c r="E2" s="7" t="s">
        <v>29</v>
      </c>
      <c r="G2" s="7" t="s">
        <v>30</v>
      </c>
      <c r="I2" s="7" t="s">
        <v>30</v>
      </c>
      <c r="K2" s="7" t="s">
        <v>30</v>
      </c>
      <c r="M2" s="7" t="s">
        <v>30</v>
      </c>
      <c r="O2" s="7" t="s">
        <v>30</v>
      </c>
      <c r="Q2" s="7" t="s">
        <v>30</v>
      </c>
      <c r="S2" s="7" t="s">
        <v>30</v>
      </c>
      <c r="W2" s="4">
        <v>10</v>
      </c>
      <c r="X2" s="4" t="s">
        <v>4</v>
      </c>
      <c r="Z2" s="7" t="s">
        <v>39</v>
      </c>
      <c r="AA2" s="7" t="s">
        <v>55</v>
      </c>
      <c r="AC2" s="7" t="s">
        <v>42</v>
      </c>
      <c r="AE2" s="7" t="s">
        <v>50</v>
      </c>
    </row>
    <row r="3" spans="1:31" x14ac:dyDescent="0.2">
      <c r="A3" s="7">
        <v>2</v>
      </c>
      <c r="B3" s="7" t="s">
        <v>21</v>
      </c>
      <c r="C3" s="7" t="s">
        <v>33</v>
      </c>
      <c r="E3" s="7" t="s">
        <v>33</v>
      </c>
      <c r="G3" s="7" t="s">
        <v>59</v>
      </c>
      <c r="I3" s="7" t="s">
        <v>14</v>
      </c>
      <c r="K3" s="7" t="s">
        <v>14</v>
      </c>
      <c r="M3" s="7" t="s">
        <v>14</v>
      </c>
      <c r="O3" s="7" t="s">
        <v>14</v>
      </c>
      <c r="Q3" s="7" t="s">
        <v>14</v>
      </c>
      <c r="S3" s="7" t="s">
        <v>14</v>
      </c>
      <c r="W3" s="4">
        <v>20</v>
      </c>
      <c r="X3" s="4" t="s">
        <v>5</v>
      </c>
      <c r="Z3" s="7" t="s">
        <v>48</v>
      </c>
      <c r="AA3" s="7" t="s">
        <v>10</v>
      </c>
      <c r="AC3" s="7" t="s">
        <v>43</v>
      </c>
      <c r="AE3" s="7" t="s">
        <v>51</v>
      </c>
    </row>
    <row r="4" spans="1:31" x14ac:dyDescent="0.2">
      <c r="A4" s="7">
        <v>3</v>
      </c>
      <c r="B4" s="7" t="s">
        <v>22</v>
      </c>
      <c r="C4" s="7" t="s">
        <v>34</v>
      </c>
      <c r="E4" s="7" t="s">
        <v>34</v>
      </c>
      <c r="G4" s="7" t="s">
        <v>60</v>
      </c>
      <c r="I4" s="7" t="s">
        <v>17</v>
      </c>
      <c r="K4" s="7" t="s">
        <v>17</v>
      </c>
      <c r="M4" s="7" t="s">
        <v>17</v>
      </c>
      <c r="O4" s="7" t="s">
        <v>17</v>
      </c>
      <c r="Q4" s="7" t="s">
        <v>15</v>
      </c>
      <c r="S4" s="7" t="s">
        <v>15</v>
      </c>
      <c r="W4" s="4">
        <v>30</v>
      </c>
      <c r="X4" s="4" t="s">
        <v>6</v>
      </c>
      <c r="Z4" s="7" t="s">
        <v>52</v>
      </c>
      <c r="AA4" s="7" t="s">
        <v>56</v>
      </c>
      <c r="AC4" s="7" t="s">
        <v>44</v>
      </c>
      <c r="AE4" s="7" t="s">
        <v>39</v>
      </c>
    </row>
    <row r="5" spans="1:31" x14ac:dyDescent="0.2">
      <c r="A5" s="7">
        <v>4</v>
      </c>
      <c r="B5" s="7" t="s">
        <v>23</v>
      </c>
      <c r="C5" s="7" t="s">
        <v>35</v>
      </c>
      <c r="E5" s="7" t="s">
        <v>35</v>
      </c>
      <c r="G5" s="7" t="s">
        <v>62</v>
      </c>
      <c r="I5" s="7" t="s">
        <v>18</v>
      </c>
      <c r="K5" s="7" t="s">
        <v>18</v>
      </c>
      <c r="M5" s="7" t="s">
        <v>18</v>
      </c>
      <c r="O5" s="7" t="s">
        <v>18</v>
      </c>
      <c r="Q5" s="7" t="s">
        <v>17</v>
      </c>
      <c r="S5" s="7" t="s">
        <v>17</v>
      </c>
      <c r="W5" s="4">
        <v>40</v>
      </c>
      <c r="X5" s="4" t="s">
        <v>7</v>
      </c>
      <c r="Z5" s="7" t="s">
        <v>45</v>
      </c>
      <c r="AA5" s="7" t="s">
        <v>53</v>
      </c>
      <c r="AC5" s="7" t="s">
        <v>45</v>
      </c>
      <c r="AE5" s="7" t="s">
        <v>48</v>
      </c>
    </row>
    <row r="6" spans="1:31" x14ac:dyDescent="0.2">
      <c r="A6" s="7">
        <v>5</v>
      </c>
      <c r="B6" s="7" t="s">
        <v>24</v>
      </c>
      <c r="C6" s="7" t="s">
        <v>36</v>
      </c>
      <c r="E6" s="7" t="s">
        <v>36</v>
      </c>
      <c r="G6" s="7" t="s">
        <v>63</v>
      </c>
      <c r="I6" s="7" t="s">
        <v>31</v>
      </c>
      <c r="K6" s="7" t="s">
        <v>31</v>
      </c>
      <c r="M6" s="7" t="s">
        <v>31</v>
      </c>
      <c r="O6" s="7" t="s">
        <v>31</v>
      </c>
      <c r="Q6" s="7" t="s">
        <v>16</v>
      </c>
      <c r="S6" s="7" t="s">
        <v>16</v>
      </c>
      <c r="W6" s="4">
        <v>50</v>
      </c>
      <c r="X6" s="4" t="s">
        <v>8</v>
      </c>
      <c r="Z6" s="7" t="s">
        <v>43</v>
      </c>
      <c r="AA6" s="7" t="s">
        <v>57</v>
      </c>
      <c r="AC6" s="7" t="s">
        <v>46</v>
      </c>
    </row>
    <row r="7" spans="1:31" x14ac:dyDescent="0.2">
      <c r="A7" s="7">
        <v>6</v>
      </c>
      <c r="B7" s="7" t="s">
        <v>25</v>
      </c>
      <c r="C7" s="7" t="s">
        <v>37</v>
      </c>
      <c r="E7" s="7" t="s">
        <v>37</v>
      </c>
      <c r="G7" s="7" t="s">
        <v>65</v>
      </c>
      <c r="I7" s="7" t="s">
        <v>32</v>
      </c>
      <c r="K7" s="7" t="s">
        <v>32</v>
      </c>
      <c r="M7" s="7" t="s">
        <v>32</v>
      </c>
      <c r="O7" s="7" t="s">
        <v>32</v>
      </c>
      <c r="Q7" s="7" t="s">
        <v>18</v>
      </c>
      <c r="S7" s="7" t="s">
        <v>18</v>
      </c>
      <c r="W7" s="4">
        <v>60</v>
      </c>
      <c r="X7" s="4" t="s">
        <v>9</v>
      </c>
      <c r="Z7" s="7" t="s">
        <v>47</v>
      </c>
      <c r="AA7" s="7" t="s">
        <v>54</v>
      </c>
    </row>
    <row r="8" spans="1:31" x14ac:dyDescent="0.2">
      <c r="A8" s="7">
        <v>7</v>
      </c>
      <c r="B8" s="7" t="s">
        <v>26</v>
      </c>
      <c r="C8" s="7" t="s">
        <v>37</v>
      </c>
      <c r="G8" s="7" t="s">
        <v>64</v>
      </c>
      <c r="Q8" s="7" t="s">
        <v>31</v>
      </c>
      <c r="S8" s="7" t="s">
        <v>31</v>
      </c>
      <c r="W8" s="4">
        <v>70</v>
      </c>
      <c r="X8" s="4" t="s">
        <v>10</v>
      </c>
    </row>
    <row r="9" spans="1:31" x14ac:dyDescent="0.2">
      <c r="A9" s="7">
        <v>8</v>
      </c>
      <c r="B9" s="7" t="s">
        <v>27</v>
      </c>
      <c r="C9" s="7" t="s">
        <v>37</v>
      </c>
      <c r="G9" s="7" t="s">
        <v>61</v>
      </c>
      <c r="Q9" s="7" t="s">
        <v>32</v>
      </c>
      <c r="S9" s="7" t="s">
        <v>32</v>
      </c>
      <c r="W9" s="4">
        <v>80</v>
      </c>
      <c r="X9" s="4" t="s">
        <v>11</v>
      </c>
    </row>
    <row r="10" spans="1:31" x14ac:dyDescent="0.2">
      <c r="G10" s="7" t="s">
        <v>66</v>
      </c>
      <c r="W10" s="4">
        <v>90</v>
      </c>
      <c r="X10" s="4" t="s">
        <v>12</v>
      </c>
    </row>
    <row r="11" spans="1:31" x14ac:dyDescent="0.2">
      <c r="W11" s="4">
        <v>100</v>
      </c>
      <c r="X11" s="4" t="s">
        <v>13</v>
      </c>
    </row>
    <row r="17" spans="6:7" x14ac:dyDescent="0.2">
      <c r="F17" s="40"/>
      <c r="G17" s="40"/>
    </row>
    <row r="18" spans="6:7" x14ac:dyDescent="0.2">
      <c r="F18" s="40"/>
      <c r="G18" s="40"/>
    </row>
    <row r="19" spans="6:7" x14ac:dyDescent="0.2">
      <c r="F19" s="40"/>
      <c r="G19" s="40"/>
    </row>
    <row r="20" spans="6:7" x14ac:dyDescent="0.2">
      <c r="F20" s="40"/>
      <c r="G20" s="40"/>
    </row>
    <row r="21" spans="6:7" x14ac:dyDescent="0.2">
      <c r="F21" s="40"/>
      <c r="G21" s="40"/>
    </row>
    <row r="22" spans="6:7" x14ac:dyDescent="0.2">
      <c r="F22" s="40"/>
      <c r="G22" s="40"/>
    </row>
    <row r="23" spans="6:7" x14ac:dyDescent="0.2">
      <c r="F23" s="40"/>
      <c r="G23" s="40"/>
    </row>
    <row r="24" spans="6:7" x14ac:dyDescent="0.2">
      <c r="F24" s="40"/>
      <c r="G24" s="40"/>
    </row>
    <row r="25" spans="6:7" x14ac:dyDescent="0.2">
      <c r="F25" s="40"/>
      <c r="G25" s="40"/>
    </row>
  </sheetData>
  <phoneticPr fontId="0" type="noConversion"/>
  <pageMargins left="0.75" right="0.75" top="1" bottom="1" header="0.5" footer="0.5"/>
  <pageSetup orientation="portrait" horizontalDpi="0"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3:J21"/>
  <sheetViews>
    <sheetView workbookViewId="0">
      <selection activeCell="A21" sqref="A21"/>
    </sheetView>
  </sheetViews>
  <sheetFormatPr baseColWidth="10" defaultRowHeight="12.5" x14ac:dyDescent="0.25"/>
  <sheetData>
    <row r="3" spans="1:10" ht="13" x14ac:dyDescent="0.3">
      <c r="A3" s="41" t="s">
        <v>89</v>
      </c>
      <c r="J3" s="41" t="s">
        <v>90</v>
      </c>
    </row>
    <row r="5" spans="1:10" x14ac:dyDescent="0.25">
      <c r="A5" s="58"/>
      <c r="B5" s="58"/>
    </row>
    <row r="21" spans="1:1" ht="13" x14ac:dyDescent="0.3">
      <c r="A21" s="41" t="s">
        <v>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Andrés Roberto Meza Rivera</cp:lastModifiedBy>
  <cp:lastPrinted>2016-02-09T08:42:26Z</cp:lastPrinted>
  <dcterms:created xsi:type="dcterms:W3CDTF">1997-09-28T23:27:35Z</dcterms:created>
  <dcterms:modified xsi:type="dcterms:W3CDTF">2017-03-08T00:39:39Z</dcterms:modified>
</cp:coreProperties>
</file>